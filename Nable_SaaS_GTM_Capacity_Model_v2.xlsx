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erii/Desktop/"/>
    </mc:Choice>
  </mc:AlternateContent>
  <xr:revisionPtr revIDLastSave="0" documentId="13_ncr:1_{ACFDBC01-98EC-D740-A39C-2565EAE722BE}" xr6:coauthVersionLast="47" xr6:coauthVersionMax="47" xr10:uidLastSave="{00000000-0000-0000-0000-000000000000}"/>
  <bookViews>
    <workbookView xWindow="0" yWindow="660" windowWidth="30240" windowHeight="18980" tabRatio="500" activeTab="4" xr2:uid="{00000000-000D-0000-FFFF-FFFF00000000}"/>
  </bookViews>
  <sheets>
    <sheet name="Cover" sheetId="1" r:id="rId1"/>
    <sheet name="Summary" sheetId="8" r:id="rId2"/>
    <sheet name="Assumptions" sheetId="2" r:id="rId3"/>
    <sheet name="Actuals" sheetId="3" r:id="rId4"/>
    <sheet name="ARR Bridge" sheetId="4" r:id="rId5"/>
    <sheet name="Segmentation" sheetId="5" r:id="rId6"/>
    <sheet name="GTM Capacity" sheetId="6" r:id="rId7"/>
    <sheet name="Scenarios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4" l="1"/>
  <c r="B14" i="4"/>
  <c r="B16" i="8"/>
  <c r="B40" i="8"/>
  <c r="B20" i="8"/>
  <c r="B19" i="8"/>
  <c r="B11" i="8"/>
  <c r="D65" i="7"/>
  <c r="C65" i="7"/>
  <c r="B65" i="7"/>
  <c r="A40" i="7"/>
  <c r="A39" i="7"/>
  <c r="A38" i="7"/>
  <c r="A37" i="7"/>
  <c r="A36" i="7"/>
  <c r="F35" i="7"/>
  <c r="E35" i="7"/>
  <c r="D35" i="7"/>
  <c r="C35" i="7"/>
  <c r="B35" i="7"/>
  <c r="D29" i="7"/>
  <c r="C29" i="7"/>
  <c r="B29" i="7"/>
  <c r="D66" i="7" s="1"/>
  <c r="D25" i="7"/>
  <c r="C25" i="7"/>
  <c r="B25" i="7"/>
  <c r="D24" i="7"/>
  <c r="C24" i="7"/>
  <c r="B24" i="7"/>
  <c r="B18" i="7"/>
  <c r="D12" i="7"/>
  <c r="C12" i="7"/>
  <c r="B12" i="7"/>
  <c r="D11" i="7"/>
  <c r="D18" i="7" s="1"/>
  <c r="C11" i="7"/>
  <c r="C18" i="7" s="1"/>
  <c r="B11" i="7"/>
  <c r="D10" i="7"/>
  <c r="C10" i="7"/>
  <c r="B10" i="7"/>
  <c r="D9" i="7"/>
  <c r="C9" i="7"/>
  <c r="B9" i="7"/>
  <c r="D8" i="7"/>
  <c r="C8" i="7"/>
  <c r="B8" i="7"/>
  <c r="B80" i="6"/>
  <c r="B45" i="6"/>
  <c r="B44" i="6"/>
  <c r="B43" i="6"/>
  <c r="B42" i="6"/>
  <c r="E40" i="6"/>
  <c r="B40" i="6"/>
  <c r="E39" i="6"/>
  <c r="B39" i="6"/>
  <c r="E38" i="6"/>
  <c r="B38" i="6"/>
  <c r="F43" i="6" s="1"/>
  <c r="F37" i="6"/>
  <c r="E37" i="6"/>
  <c r="B37" i="6"/>
  <c r="F36" i="6"/>
  <c r="E36" i="6"/>
  <c r="F35" i="6"/>
  <c r="E35" i="6"/>
  <c r="B35" i="6"/>
  <c r="B32" i="6"/>
  <c r="B46" i="6" s="1"/>
  <c r="B27" i="6"/>
  <c r="B13" i="6"/>
  <c r="B9" i="6"/>
  <c r="B7" i="6"/>
  <c r="B8" i="6" s="1"/>
  <c r="B10" i="6" s="1"/>
  <c r="B25" i="6" s="1"/>
  <c r="B6" i="6"/>
  <c r="D11" i="5"/>
  <c r="D13" i="5" s="1"/>
  <c r="C11" i="5"/>
  <c r="C21" i="5" s="1"/>
  <c r="D9" i="5"/>
  <c r="C9" i="5"/>
  <c r="B9" i="5"/>
  <c r="D8" i="5"/>
  <c r="C8" i="5"/>
  <c r="C18" i="5" s="1"/>
  <c r="B8" i="5"/>
  <c r="D7" i="5"/>
  <c r="C7" i="5"/>
  <c r="B7" i="5"/>
  <c r="B11" i="5" s="1"/>
  <c r="B13" i="5" s="1"/>
  <c r="E81" i="4"/>
  <c r="D81" i="4"/>
  <c r="B81" i="4"/>
  <c r="D80" i="4"/>
  <c r="C80" i="4"/>
  <c r="D79" i="4"/>
  <c r="C79" i="4"/>
  <c r="D78" i="4"/>
  <c r="C78" i="4"/>
  <c r="E77" i="4"/>
  <c r="C77" i="4"/>
  <c r="E76" i="4"/>
  <c r="D76" i="4"/>
  <c r="B76" i="4"/>
  <c r="B48" i="4"/>
  <c r="D33" i="4"/>
  <c r="B33" i="4"/>
  <c r="B19" i="4"/>
  <c r="B15" i="8"/>
  <c r="B12" i="4"/>
  <c r="B17" i="4" s="1"/>
  <c r="E80" i="4" s="1"/>
  <c r="B11" i="4"/>
  <c r="B10" i="4"/>
  <c r="B9" i="4"/>
  <c r="C76" i="4" s="1"/>
  <c r="E38" i="3"/>
  <c r="F38" i="3" s="1"/>
  <c r="E37" i="3"/>
  <c r="F37" i="3" s="1"/>
  <c r="F36" i="3"/>
  <c r="E36" i="3"/>
  <c r="F35" i="3"/>
  <c r="E35" i="3"/>
  <c r="E31" i="3"/>
  <c r="E30" i="3"/>
  <c r="E29" i="3"/>
  <c r="B76" i="6" s="1"/>
  <c r="E28" i="3"/>
  <c r="C33" i="4" s="1"/>
  <c r="E23" i="3"/>
  <c r="B15" i="6" s="1"/>
  <c r="B78" i="6" s="1"/>
  <c r="F22" i="3"/>
  <c r="E22" i="3"/>
  <c r="B81" i="6" s="1"/>
  <c r="E16" i="3"/>
  <c r="C7" i="3"/>
  <c r="B20" i="2"/>
  <c r="B22" i="6" s="1"/>
  <c r="B19" i="2"/>
  <c r="D35" i="4" s="1"/>
  <c r="B18" i="2"/>
  <c r="B17" i="2"/>
  <c r="B16" i="2"/>
  <c r="B37" i="4" s="1"/>
  <c r="B7" i="2"/>
  <c r="C12" i="5" l="1"/>
  <c r="D12" i="5"/>
  <c r="D23" i="5" s="1"/>
  <c r="B22" i="8" s="1"/>
  <c r="C35" i="4"/>
  <c r="C36" i="4"/>
  <c r="C37" i="4"/>
  <c r="B77" i="4"/>
  <c r="B35" i="4"/>
  <c r="B36" i="4" s="1"/>
  <c r="C35" i="6"/>
  <c r="G35" i="6" s="1"/>
  <c r="C7" i="8"/>
  <c r="B21" i="8"/>
  <c r="C17" i="1"/>
  <c r="B82" i="6"/>
  <c r="D36" i="4"/>
  <c r="C17" i="5"/>
  <c r="E42" i="6"/>
  <c r="B12" i="5"/>
  <c r="C22" i="5" s="1"/>
  <c r="C15" i="5"/>
  <c r="F42" i="6"/>
  <c r="D37" i="4"/>
  <c r="C16" i="5"/>
  <c r="E41" i="6"/>
  <c r="E46" i="6"/>
  <c r="E43" i="6"/>
  <c r="B66" i="7"/>
  <c r="B16" i="4"/>
  <c r="C13" i="5"/>
  <c r="C19" i="5" s="1"/>
  <c r="B36" i="6"/>
  <c r="F38" i="6"/>
  <c r="B41" i="6"/>
  <c r="C66" i="7"/>
  <c r="B15" i="4"/>
  <c r="B27" i="4"/>
  <c r="D77" i="4"/>
  <c r="B78" i="4"/>
  <c r="F46" i="6" l="1"/>
  <c r="F45" i="6"/>
  <c r="E78" i="4"/>
  <c r="B14" i="8"/>
  <c r="B23" i="4"/>
  <c r="B26" i="4"/>
  <c r="B18" i="4"/>
  <c r="F44" i="6"/>
  <c r="B80" i="4"/>
  <c r="F40" i="6"/>
  <c r="F41" i="6"/>
  <c r="E45" i="6"/>
  <c r="F39" i="6"/>
  <c r="B47" i="6"/>
  <c r="B24" i="4"/>
  <c r="E44" i="6"/>
  <c r="B25" i="4"/>
  <c r="D17" i="7"/>
  <c r="C17" i="7"/>
  <c r="B13" i="8"/>
  <c r="B29" i="4"/>
  <c r="E79" i="4"/>
  <c r="B17" i="7"/>
  <c r="B79" i="4"/>
  <c r="D35" i="6"/>
  <c r="B12" i="8" l="1"/>
  <c r="B11" i="6"/>
  <c r="B12" i="6" s="1"/>
  <c r="B14" i="6" s="1"/>
  <c r="B21" i="6" s="1"/>
  <c r="B23" i="6" s="1"/>
  <c r="B60" i="6"/>
  <c r="C36" i="6"/>
  <c r="D36" i="6" s="1"/>
  <c r="C81" i="4"/>
  <c r="B20" i="4"/>
  <c r="C14" i="7"/>
  <c r="B14" i="7"/>
  <c r="D14" i="7"/>
  <c r="D34" i="4"/>
  <c r="C34" i="4"/>
  <c r="B34" i="4"/>
  <c r="B49" i="4"/>
  <c r="B17" i="1"/>
  <c r="B7" i="8"/>
  <c r="B50" i="4" l="1"/>
  <c r="B51" i="4" s="1"/>
  <c r="G36" i="6"/>
  <c r="B41" i="4"/>
  <c r="B44" i="4" s="1"/>
  <c r="B38" i="4"/>
  <c r="B39" i="4"/>
  <c r="C41" i="4"/>
  <c r="C38" i="4"/>
  <c r="C44" i="4" s="1"/>
  <c r="C39" i="4"/>
  <c r="B40" i="7"/>
  <c r="D38" i="7"/>
  <c r="F36" i="7"/>
  <c r="E37" i="7"/>
  <c r="F40" i="7"/>
  <c r="D37" i="7"/>
  <c r="C38" i="7"/>
  <c r="E36" i="7"/>
  <c r="C36" i="7"/>
  <c r="D39" i="7"/>
  <c r="F37" i="7"/>
  <c r="B36" i="7"/>
  <c r="C39" i="7"/>
  <c r="C37" i="7"/>
  <c r="F39" i="7"/>
  <c r="B38" i="7"/>
  <c r="D36" i="7"/>
  <c r="B15" i="7"/>
  <c r="B19" i="7" s="1"/>
  <c r="E39" i="7"/>
  <c r="D40" i="7"/>
  <c r="F38" i="7"/>
  <c r="B37" i="7"/>
  <c r="C40" i="7"/>
  <c r="E38" i="7"/>
  <c r="B16" i="7"/>
  <c r="B39" i="7"/>
  <c r="E40" i="7"/>
  <c r="C15" i="7"/>
  <c r="C16" i="7"/>
  <c r="C21" i="7" s="1"/>
  <c r="C37" i="6"/>
  <c r="G37" i="6" s="1"/>
  <c r="H37" i="6" s="1"/>
  <c r="H35" i="6"/>
  <c r="D38" i="4"/>
  <c r="D39" i="4" s="1"/>
  <c r="D41" i="4"/>
  <c r="D44" i="4" s="1"/>
  <c r="D15" i="7"/>
  <c r="D16" i="7"/>
  <c r="D19" i="7"/>
  <c r="D21" i="7" l="1"/>
  <c r="B21" i="7"/>
  <c r="C19" i="7"/>
  <c r="C30" i="7"/>
  <c r="C20" i="7"/>
  <c r="C27" i="7"/>
  <c r="C26" i="7"/>
  <c r="C31" i="7"/>
  <c r="B37" i="8"/>
  <c r="B30" i="7"/>
  <c r="B41" i="8" s="1"/>
  <c r="B26" i="7"/>
  <c r="B20" i="7"/>
  <c r="B39" i="8"/>
  <c r="B27" i="7"/>
  <c r="B31" i="7"/>
  <c r="B20" i="6"/>
  <c r="D45" i="4"/>
  <c r="D42" i="4"/>
  <c r="D43" i="4" s="1"/>
  <c r="B19" i="6"/>
  <c r="B25" i="8"/>
  <c r="C42" i="4"/>
  <c r="C43" i="4" s="1"/>
  <c r="C45" i="4"/>
  <c r="H36" i="6"/>
  <c r="I35" i="6"/>
  <c r="I36" i="6" s="1"/>
  <c r="I37" i="6" s="1"/>
  <c r="D27" i="7"/>
  <c r="D30" i="7"/>
  <c r="D20" i="7"/>
  <c r="D31" i="7"/>
  <c r="D26" i="7"/>
  <c r="D37" i="6"/>
  <c r="B52" i="4"/>
  <c r="B18" i="6"/>
  <c r="B42" i="4"/>
  <c r="B43" i="4" s="1"/>
  <c r="B45" i="4"/>
  <c r="B26" i="8" l="1"/>
  <c r="D7" i="8"/>
  <c r="D17" i="1"/>
  <c r="D105" i="6"/>
  <c r="J105" i="6"/>
  <c r="H105" i="6"/>
  <c r="M105" i="6"/>
  <c r="C105" i="6"/>
  <c r="B28" i="6"/>
  <c r="B33" i="8" s="1"/>
  <c r="K105" i="6"/>
  <c r="I105" i="6"/>
  <c r="L105" i="6"/>
  <c r="B105" i="6"/>
  <c r="F105" i="6"/>
  <c r="E105" i="6"/>
  <c r="G105" i="6"/>
  <c r="B24" i="6"/>
  <c r="B51" i="6"/>
  <c r="B38" i="8"/>
  <c r="F17" i="1"/>
  <c r="F7" i="8"/>
  <c r="C38" i="6"/>
  <c r="D38" i="6" s="1"/>
  <c r="B26" i="6" l="1"/>
  <c r="B27" i="8"/>
  <c r="B56" i="6"/>
  <c r="C39" i="6"/>
  <c r="D39" i="6" s="1"/>
  <c r="G38" i="6"/>
  <c r="G39" i="6" l="1"/>
  <c r="H39" i="6" s="1"/>
  <c r="C40" i="6"/>
  <c r="G40" i="6" s="1"/>
  <c r="H40" i="6" s="1"/>
  <c r="D40" i="6"/>
  <c r="H38" i="6"/>
  <c r="C41" i="6" l="1"/>
  <c r="G41" i="6" s="1"/>
  <c r="D41" i="6"/>
  <c r="I38" i="6"/>
  <c r="I39" i="6" s="1"/>
  <c r="I40" i="6" s="1"/>
  <c r="C42" i="6" l="1"/>
  <c r="G42" i="6" s="1"/>
  <c r="H42" i="6" s="1"/>
  <c r="H41" i="6"/>
  <c r="D42" i="6" l="1"/>
  <c r="I41" i="6"/>
  <c r="I42" i="6" s="1"/>
  <c r="C43" i="6"/>
  <c r="G43" i="6" s="1"/>
  <c r="H43" i="6" l="1"/>
  <c r="D43" i="6"/>
  <c r="I43" i="6"/>
  <c r="C44" i="6" l="1"/>
  <c r="G44" i="6" s="1"/>
  <c r="H44" i="6" s="1"/>
  <c r="I44" i="6" s="1"/>
  <c r="D44" i="6" l="1"/>
  <c r="C45" i="6" l="1"/>
  <c r="G45" i="6" s="1"/>
  <c r="H45" i="6" s="1"/>
  <c r="I45" i="6" s="1"/>
  <c r="D45" i="6"/>
  <c r="C46" i="6" l="1"/>
  <c r="D46" i="6"/>
  <c r="D47" i="6" s="1"/>
  <c r="B73" i="6" s="1"/>
  <c r="B74" i="6" s="1"/>
  <c r="B75" i="6" s="1"/>
  <c r="B77" i="6" s="1"/>
  <c r="B79" i="6" s="1"/>
  <c r="B34" i="8" l="1"/>
  <c r="B83" i="6"/>
  <c r="G46" i="6"/>
  <c r="C47" i="6"/>
  <c r="H46" i="6" l="1"/>
  <c r="G47" i="6"/>
  <c r="B55" i="6" s="1"/>
  <c r="B28" i="8" l="1"/>
  <c r="B57" i="6"/>
  <c r="H47" i="6"/>
  <c r="B50" i="6" s="1"/>
  <c r="I46" i="6"/>
  <c r="I47" i="6" s="1"/>
  <c r="B53" i="6" l="1"/>
  <c r="B52" i="6"/>
  <c r="B30" i="8" s="1"/>
  <c r="B69" i="6"/>
  <c r="B61" i="6"/>
  <c r="B62" i="6" s="1"/>
  <c r="B65" i="6"/>
  <c r="B66" i="6" s="1"/>
  <c r="B31" i="8" s="1"/>
  <c r="B32" i="8" l="1"/>
  <c r="B70" i="6"/>
  <c r="B29" i="8"/>
  <c r="E17" i="1"/>
  <c r="E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100-000001000000}">
      <text>
        <r>
          <rPr>
            <sz val="10"/>
            <color rgb="FF000000"/>
            <rFont val="Arial"/>
            <family val="2"/>
          </rPr>
          <t>MODELED. Downside calibrated to the mid-80% renewal cohort N-able reported in Q2 FY2026 [5].</t>
        </r>
      </text>
    </comment>
    <comment ref="B12" authorId="0" shapeId="0" xr:uid="{00000000-0006-0000-0100-000002000000}">
      <text>
        <r>
          <rPr>
            <sz val="10"/>
            <rFont val="Arial"/>
            <family val="2"/>
          </rPr>
          <t>MODELED. Base holds FY2025 retention; new logo grows with the $50K+ trend.</t>
        </r>
      </text>
    </comment>
    <comment ref="B13" authorId="0" shapeId="0" xr:uid="{00000000-0006-0000-0100-000003000000}">
      <text>
        <r>
          <rPr>
            <sz val="10"/>
            <rFont val="Arial"/>
            <family val="2"/>
          </rPr>
          <t>MODELED. Upside: the upmarket motion converts and FX turns tailwind.</t>
        </r>
      </text>
    </comment>
    <comment ref="B23" authorId="0" shapeId="0" xr:uid="{00000000-0006-0000-0100-000004000000}">
      <text>
        <r>
          <rPr>
            <sz val="10"/>
            <color rgb="FF000000"/>
            <rFont val="Arial"/>
            <family val="2"/>
          </rPr>
          <t>MODELED. The one judgement input. 90% sits between the mid-to-high-80% renewal commentary [5] and the 103% NRR it has to reconcile to. The grid runs it 87-93%.</t>
        </r>
      </text>
    </comment>
    <comment ref="B26" authorId="0" shapeId="0" xr:uid="{00000000-0006-0000-0100-000005000000}">
      <text>
        <r>
          <rPr>
            <sz val="10"/>
            <rFont val="Arial"/>
            <family val="2"/>
          </rPr>
          <t>MODELED. Rep comp and commissions. The balance is demand gen and channel marketing - the bigger share in a channel business.</t>
        </r>
      </text>
    </comment>
    <comment ref="B27" authorId="0" shapeId="0" xr:uid="{00000000-0006-0000-0100-000006000000}">
      <text>
        <r>
          <rPr>
            <sz val="10"/>
            <rFont val="Arial"/>
            <family val="2"/>
          </rPr>
          <t>MODELED. Base + variable + benefits, channel/SMB-weighted.</t>
        </r>
      </text>
    </comment>
    <comment ref="B28" authorId="0" shapeId="0" xr:uid="{00000000-0006-0000-0100-000007000000}">
      <text>
        <r>
          <rPr>
            <sz val="10"/>
            <rFont val="Arial"/>
            <family val="2"/>
          </rPr>
          <t>MODELED. Only used to turn achieved productivity into an implied quota.</t>
        </r>
      </text>
    </comment>
    <comment ref="B29" authorId="0" shapeId="0" xr:uid="{00000000-0006-0000-0100-000008000000}">
      <text>
        <r>
          <rPr>
            <sz val="10"/>
            <rFont val="Arial"/>
            <family val="2"/>
          </rPr>
          <t>MODELED. Exit-rate headcount runs above the full-year average in a growing org.</t>
        </r>
      </text>
    </comment>
    <comment ref="B30" authorId="0" shapeId="0" xr:uid="{00000000-0006-0000-0100-000009000000}">
      <text>
        <r>
          <rPr>
            <sz val="10"/>
            <rFont val="Arial"/>
            <family val="2"/>
          </rPr>
          <t>MODELED. Assumes 0% productivity in months 1–3, 50% in months 4–6, and 100% from month 7.</t>
        </r>
      </text>
    </comment>
    <comment ref="B35" authorId="0" shapeId="0" xr:uid="{00000000-0006-0000-0100-00000A000000}">
      <text>
        <r>
          <rPr>
            <sz val="10"/>
            <rFont val="Arial"/>
            <family val="2"/>
          </rPr>
          <t>MODELED. Standard annual raise.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1" authorId="0" shapeId="0" xr:uid="{00000000-0006-0000-0500-000001000000}">
      <text>
        <r>
          <rPr>
            <sz val="10"/>
            <rFont val="Arial"/>
            <family val="2"/>
          </rPr>
          <t>MODELED. Assumes 8 quota-carrying hires per month, or 96 annually. N-able does not disclose a hiring plan.</t>
        </r>
      </text>
    </comment>
  </commentList>
</comments>
</file>

<file path=xl/sharedStrings.xml><?xml version="1.0" encoding="utf-8"?>
<sst xmlns="http://schemas.openxmlformats.org/spreadsheetml/2006/main" count="421" uniqueCount="344">
  <si>
    <t>N-able, Inc. (NASDAQ: NABL)</t>
  </si>
  <si>
    <t>SaaS Go-to-Market Metrics and Capacity Model</t>
  </si>
  <si>
    <t>FY2025 actuals  |  FY2026 plan capacity test  |  Built August 2026</t>
  </si>
  <si>
    <t>THE QUESTION</t>
  </si>
  <si>
    <t>N-able ended FY2025 with $539.7M in ARR and originally guided to $581M–$586M for FY2026.</t>
  </si>
  <si>
    <t>This model tests where the additional ARR needed to come from and whether estimated sales capacity could support the plan.</t>
  </si>
  <si>
    <t>BOTTOM LINE</t>
  </si>
  <si>
    <t>The plan had little room for error. Growth depended heavily on existing partners, especially larger ones. Modeled sales capacity covered 91% of the original plan, and the base case came in $0.6M below the guidance minimum.</t>
  </si>
  <si>
    <t>KEY METRICS</t>
  </si>
  <si>
    <t>EXPANSION SHARE OF FY2025 GROSS NEW ARR</t>
  </si>
  <si>
    <t>SHARE OF FY2025 ARR GROWTH FROM &gt;$50K PARTNERS</t>
  </si>
  <si>
    <t>NEW LOGO ARR GROWTH REQUIRED TO MEET GUIDANCE</t>
  </si>
  <si>
    <t>MODELED SALES CAPACITY COVERAGE</t>
  </si>
  <si>
    <t>BASE CASE VS ORIGINAL GUIDANCE LOW</t>
  </si>
  <si>
    <t>New logo contributed 26.6%</t>
  </si>
  <si>
    <t>$50K+ partners represented 61% of ARR</t>
  </si>
  <si>
    <t>Required to reach the $583.5M midpoint</t>
  </si>
  <si>
    <t>$89.0M capacity vs $97.8M required</t>
  </si>
  <si>
    <t>$580.4M base case vs $581.0M floor</t>
  </si>
  <si>
    <t>NOTES</t>
  </si>
  <si>
    <t>Reported = disclosed by N-able | Derived = calculated from reported data | Modeled = estimated using stated assumptions</t>
  </si>
  <si>
    <t>SOURCES</t>
  </si>
  <si>
    <t>[1] Q4/FY2025 results · 8-K Ex-99.1, 18 Feb 2026 · SEC EDGAR</t>
  </si>
  <si>
    <t>[2] Q4 FY2025 earnings call transcript · 19 Feb 2026</t>
  </si>
  <si>
    <t>[3] Q4 FY2024 earnings call transcript · Feb 2025</t>
  </si>
  <si>
    <t>[4] Q1 FY2026 results · 6 May 2026</t>
  </si>
  <si>
    <t>[5] Q2 FY2026 earnings call transcript · 17 Aug 2026</t>
  </si>
  <si>
    <t>[6] Q3 FY2025 results · Nov 2025</t>
  </si>
  <si>
    <t>N-able, Inc. (NASDAQ: NABL)  |  SaaS Go-to-Market Metrics and Capacity Model</t>
  </si>
  <si>
    <t>Tab 2  |  Assumptions and Drivers</t>
  </si>
  <si>
    <t>$ in millions unless noted. Blue font = analyst input | Black = formula | Green = linked cell | Yellow fill = key input</t>
  </si>
  <si>
    <t>1.  SCENARIO SELECTION</t>
  </si>
  <si>
    <t>Active scenario  (1 = Downside, 2 = Base, 3 = Upside)</t>
  </si>
  <si>
    <t>Active scenario name</t>
  </si>
  <si>
    <t>Scenario library</t>
  </si>
  <si>
    <t>#</t>
  </si>
  <si>
    <t>Scenario</t>
  </si>
  <si>
    <t>Gross retention
(GRR)</t>
  </si>
  <si>
    <t>New logo ARR
growth vs FY25</t>
  </si>
  <si>
    <t>Expansion rate
uplift vs FY25</t>
  </si>
  <si>
    <t>FX impact on
ending ARR ($mm)</t>
  </si>
  <si>
    <t>Quota
attainment</t>
  </si>
  <si>
    <t>Downside</t>
  </si>
  <si>
    <t>Base</t>
  </si>
  <si>
    <t>Upside</t>
  </si>
  <si>
    <t>2.  SELECTED SCENARIO DRIVERS  (resolve off the scenario switch above)</t>
  </si>
  <si>
    <t>Gross revenue retention (GRR), FY2026E</t>
  </si>
  <si>
    <t>New logo ARR growth vs FY2025</t>
  </si>
  <si>
    <t>Expansion rate uplift vs FY2025 (pts of beginning ARR)</t>
  </si>
  <si>
    <t>FX impact on FY2026 ending ARR ($mm)</t>
  </si>
  <si>
    <t>Quota attainment, FY2026E</t>
  </si>
  <si>
    <t>3.  ARR BRIDGE INPUTS</t>
  </si>
  <si>
    <t>FY2025 gross revenue retention (GRR)</t>
  </si>
  <si>
    <t>4.  SALES CAPACITY INPUTS</t>
  </si>
  <si>
    <t>Quota-carrying compensation as % of total S&amp;M</t>
  </si>
  <si>
    <t>Fully loaded cost per quota-carrying rep ($000)</t>
  </si>
  <si>
    <t>FY2025 quota attainment</t>
  </si>
  <si>
    <t>Beginning headcount as % of FY2025 average QCRs</t>
  </si>
  <si>
    <t>Ramp: productivity in months 1-3</t>
  </si>
  <si>
    <t>Ramp: productivity in months 4-6</t>
  </si>
  <si>
    <t>Ramp: productivity in months 7+</t>
  </si>
  <si>
    <t>Annual quota-carrying rep attrition</t>
  </si>
  <si>
    <t>Required pipeline coverage ratio</t>
  </si>
  <si>
    <t>FY2026 quota inflation on fully-ramped quota</t>
  </si>
  <si>
    <t>5.  SENSITIVITY GRID AXES  (used on the Scenarios tab)</t>
  </si>
  <si>
    <t>GRR axis (rows)</t>
  </si>
  <si>
    <t>New logo ARR growth axis (columns)</t>
  </si>
  <si>
    <t>Tab 3  |  Reported Actuals and Guidance</t>
  </si>
  <si>
    <t>1.  OPERATING AND FINANCIAL METRICS</t>
  </si>
  <si>
    <t>Metric</t>
  </si>
  <si>
    <t>Unit</t>
  </si>
  <si>
    <t>FY2023A</t>
  </si>
  <si>
    <t>FY2024A</t>
  </si>
  <si>
    <t>FY2025A</t>
  </si>
  <si>
    <t>Q1 FY2026A</t>
  </si>
  <si>
    <t>Q2 FY2026A</t>
  </si>
  <si>
    <t>Source</t>
  </si>
  <si>
    <t>Total ARR (period end)</t>
  </si>
  <si>
    <t>$mm</t>
  </si>
  <si>
    <t>ARR growth, YoY reported</t>
  </si>
  <si>
    <t>%</t>
  </si>
  <si>
    <t>[1][3][4]</t>
  </si>
  <si>
    <t>ARR growth, YoY constant currency</t>
  </si>
  <si>
    <t>[1][3][4][5]</t>
  </si>
  <si>
    <t>Partners with ARR &gt; $50,000</t>
  </si>
  <si>
    <t>[3][5] and Q4 FY25 call [2]</t>
  </si>
  <si>
    <t>% of total ARR from &gt; $50K partners</t>
  </si>
  <si>
    <t>[2][3][5]</t>
  </si>
  <si>
    <t>Dollar-based net revenue retention (cc)</t>
  </si>
  <si>
    <t>Total revenue</t>
  </si>
  <si>
    <t>Subscription revenue</t>
  </si>
  <si>
    <t>Gross profit</t>
  </si>
  <si>
    <t>[1]</t>
  </si>
  <si>
    <t>Gross margin</t>
  </si>
  <si>
    <t>Sales and marketing expense</t>
  </si>
  <si>
    <t>Research and development expense</t>
  </si>
  <si>
    <t>General and administrative expense</t>
  </si>
  <si>
    <t>Operating income</t>
  </si>
  <si>
    <t>Adjusted EBITDA</t>
  </si>
  <si>
    <t>[1][4]</t>
  </si>
  <si>
    <t>Adjusted EBITDA margin</t>
  </si>
  <si>
    <t>S&amp;M as % of revenue</t>
  </si>
  <si>
    <t>Employees (approximate)</t>
  </si>
  <si>
    <t>[5] 6% reduction = ~120 of ~2,000</t>
  </si>
  <si>
    <t>2.  FY2026 GUIDANCE  -  ORIGINAL  (issued 18 Feb 2026, reaffirmed 6 May 2026)</t>
  </si>
  <si>
    <t>Low</t>
  </si>
  <si>
    <t>High</t>
  </si>
  <si>
    <t>Midpoint</t>
  </si>
  <si>
    <t>Total ARR (Dec 31, 2026)</t>
  </si>
  <si>
    <t>Free cash flow</t>
  </si>
  <si>
    <t>[2]</t>
  </si>
  <si>
    <t>3.  FY2026 GUIDANCE  -  REVISED  (issued 6 Aug 2026, with restructuring)</t>
  </si>
  <si>
    <t>Cut vs
original</t>
  </si>
  <si>
    <t>[5]</t>
  </si>
  <si>
    <t>Management commentary on the ARR guidance cut</t>
  </si>
  <si>
    <t>-  Q2 FY2026 renewal cohort, the largest of the year, landed in the mid-80% range against a projected high-80% range in UEM and EDR [5]</t>
  </si>
  <si>
    <t>-  EDR pricing pressure: partners retaining at lower price points or migrating to competitors [5]</t>
  </si>
  <si>
    <t>-  Chief Revenue Officer transition (Russell Rosa, started July 2026) [5]</t>
  </si>
  <si>
    <t>-  FX: approximately $5M of ARR impact [5]</t>
  </si>
  <si>
    <t>Tab 4  |  ARR Bridge  -  FY2025 decomposition and FY2026 requirement</t>
  </si>
  <si>
    <t>1.  FY2025 ARR BRIDGE</t>
  </si>
  <si>
    <t>Beginning ARR (Dec 31, 2024)</t>
  </si>
  <si>
    <t>Gross revenue retention (GRR) assumption</t>
  </si>
  <si>
    <t>Dollar-based net revenue retention, reported</t>
  </si>
  <si>
    <t>ARR growth, constant currency, reported</t>
  </si>
  <si>
    <t>(-)  Gross churn and downgrade ARR</t>
  </si>
  <si>
    <t>beginning ARR x (1 - GRR)</t>
  </si>
  <si>
    <t>(+)  Expansion and upsell ARR</t>
  </si>
  <si>
    <t>net retained base less surviving base</t>
  </si>
  <si>
    <t>(+)  New logo ARR</t>
  </si>
  <si>
    <t>cc ending ARR less net retained base</t>
  </si>
  <si>
    <t>(+/-) Implied FX impact</t>
  </si>
  <si>
    <t>reported ending less cc ending</t>
  </si>
  <si>
    <t>Ending ARR (Dec 31, 2025)</t>
  </si>
  <si>
    <t>Reported ending ARR</t>
  </si>
  <si>
    <t>Check  (must equal zero)</t>
  </si>
  <si>
    <t>Motion contribution</t>
  </si>
  <si>
    <t>Gross new ARR  (new logo + expansion)</t>
  </si>
  <si>
    <t>Net new ARR, constant currency</t>
  </si>
  <si>
    <t>New logo as % of gross new ARR</t>
  </si>
  <si>
    <t>Expansion as % of gross new ARR</t>
  </si>
  <si>
    <t>Gross churn as % of beginning ARR</t>
  </si>
  <si>
    <t>Expansion rate  (% of beginning ARR)</t>
  </si>
  <si>
    <t>New logo rate  (% of beginning ARR)</t>
  </si>
  <si>
    <t>2.  FY2026 REQUIREMENT  -  BACK-SOLVE AGAINST ORIGINAL GUIDANCE  ($581M - $586M)</t>
  </si>
  <si>
    <t>Guidance low</t>
  </si>
  <si>
    <t>Guidance mid</t>
  </si>
  <si>
    <t>Guidance high</t>
  </si>
  <si>
    <t>Target ending ARR (Dec 31, 2026)</t>
  </si>
  <si>
    <t>Beginning ARR (Dec 31, 2025)</t>
  </si>
  <si>
    <t>(+/-) Assumed FX impact</t>
  </si>
  <si>
    <t>Required constant-currency ending ARR</t>
  </si>
  <si>
    <t>Gross revenue retention assumption, FY2026E</t>
  </si>
  <si>
    <t>Required gross new ARR  (new logo + expansion)</t>
  </si>
  <si>
    <t>Expansion ARR at FY2025 rate + scenario uplift</t>
  </si>
  <si>
    <t>expansion held at the FY2025 rate</t>
  </si>
  <si>
    <t>Required new logo ARR  (plug)</t>
  </si>
  <si>
    <t>Required new logo growth vs FY2025</t>
  </si>
  <si>
    <t>Implied net revenue retention</t>
  </si>
  <si>
    <t>same 103% as FY2024-25</t>
  </si>
  <si>
    <t>Required gross new ARR growth vs FY2025</t>
  </si>
  <si>
    <t>3.  THE SAME BACK-SOLVE AGAINST REVISED GUIDANCE  ($562M - $565M, issued 6 Aug 2026)</t>
  </si>
  <si>
    <t>Target ending ARR, revised guidance midpoint</t>
  </si>
  <si>
    <t>Required gross new ARR</t>
  </si>
  <si>
    <t>Required new logo ARR (plug, expansion held at FY2025 rate)</t>
  </si>
  <si>
    <t>With expansion held at the FY2025 rate, the residual new-logo requirement falls to $7.6M.</t>
  </si>
  <si>
    <t>Reduction in required gross new ARR vs original guidance mid</t>
  </si>
  <si>
    <t>4.  FY2025 ARR BRIDGE CHART</t>
  </si>
  <si>
    <t>Chart data  -  waterfall helpers; the base series plots invisible.</t>
  </si>
  <si>
    <t>Category</t>
  </si>
  <si>
    <t>Base (invisible)</t>
  </si>
  <si>
    <t>Total</t>
  </si>
  <si>
    <t>Decrease</t>
  </si>
  <si>
    <t>Increase</t>
  </si>
  <si>
    <t>Beginning ARR</t>
  </si>
  <si>
    <t>Gross churn</t>
  </si>
  <si>
    <t>Expansion</t>
  </si>
  <si>
    <t>New logo</t>
  </si>
  <si>
    <t>Implied FX</t>
  </si>
  <si>
    <t>Ending ARR</t>
  </si>
  <si>
    <t>Tab 5  |  Customer Segmentation  -  the $50K+ cohort versus the long tail</t>
  </si>
  <si>
    <t>1.  COHORT SPLIT</t>
  </si>
  <si>
    <t>Total ARR</t>
  </si>
  <si>
    <t>ARR from &gt; $50K partners</t>
  </si>
  <si>
    <t>ARR from &lt; $50K long tail</t>
  </si>
  <si>
    <t>Average ARR per &gt; $50K partner ($000)</t>
  </si>
  <si>
    <t>YoY growth  -  total ARR</t>
  </si>
  <si>
    <t>YoY growth  -  &gt; $50K cohort ARR</t>
  </si>
  <si>
    <t>YoY growth  -  long tail ARR</t>
  </si>
  <si>
    <t>YoY growth  -  &gt; $50K partner count</t>
  </si>
  <si>
    <t>YoY growth  -  average ARR per large partner</t>
  </si>
  <si>
    <t>Share of FY2025 ARR growth from &gt; $50K cohort</t>
  </si>
  <si>
    <t>Long tail ARR change, FY2024 to FY2025 ($mm)</t>
  </si>
  <si>
    <t>Long tail ARR change, FY2025 to Q2 FY2026 ($mm)</t>
  </si>
  <si>
    <t>2.  WHY THE EXPANSION ASSUMPTION IS SENSITIVE</t>
  </si>
  <si>
    <t>1.  The &gt;$50K cohort generated 94.4% of FY2025 ARR growth, raising its share of ARR from 57% to 61%.</t>
  </si>
  <si>
    <t>2.  Long-tail ARR grew only $3.2M in FY2025 and fell $9.0M by Q2 FY2026.</t>
  </si>
  <si>
    <t>3.  Holding the FY2025 expansion rate therefore assumes continued strength in the &gt;$50K cohort.</t>
  </si>
  <si>
    <t>3.  ARR BY PARTNER COHORT</t>
  </si>
  <si>
    <t>Tab 6  |  Go-to-Market Capacity  -  productivity, ramp, headcount and cost</t>
  </si>
  <si>
    <t>1.  FY2025 PRODUCTIVITY CALIBRATION</t>
  </si>
  <si>
    <t>Total sales and marketing expense, FY2025</t>
  </si>
  <si>
    <t>Quota-carrying compensation as % of S&amp;M</t>
  </si>
  <si>
    <t>Quota-carrying cost pool</t>
  </si>
  <si>
    <t>Implied average quota-carrying reps ("QCRs"), FY2025</t>
  </si>
  <si>
    <t>Implied from reported S&amp;M using modeled rep-cost assumptions.</t>
  </si>
  <si>
    <t>Gross new ARR delivered, FY2025</t>
  </si>
  <si>
    <t>Achieved productivity per average QCR ($mm)</t>
  </si>
  <si>
    <t>Implied quota per fully-ramped QCR ($mm)</t>
  </si>
  <si>
    <t>S&amp;M as % of revenue, FY2025</t>
  </si>
  <si>
    <t>2.  FY2026 CAPACITY REQUIREMENT  (sized against the original $581M - $586M guidance)</t>
  </si>
  <si>
    <t>Required gross new ARR, guidance low</t>
  </si>
  <si>
    <t>Required gross new ARR, guidance midpoint</t>
  </si>
  <si>
    <t>capacity is sized off this</t>
  </si>
  <si>
    <t>Required gross new ARR, guidance high</t>
  </si>
  <si>
    <t>Quota per fully-ramped QCR, FY2026</t>
  </si>
  <si>
    <t>Quota attainment, FY2026 (scenario)</t>
  </si>
  <si>
    <t>Productivity per ramped QCR, FY2026 ($mm)</t>
  </si>
  <si>
    <t>Required ramped-equivalent QCR-years</t>
  </si>
  <si>
    <t>Beginning QCR headcount (Jan 1, 2026)</t>
  </si>
  <si>
    <t>Capacity gap at zero hiring (QCR-years)</t>
  </si>
  <si>
    <t>Required qualified pipeline, FY2026</t>
  </si>
  <si>
    <t>worth reconciling against actual pipeline before the plan is signed, not after</t>
  </si>
  <si>
    <t>3.  MONTHLY HIRING AND RAMP SCHEDULE, FY2026</t>
  </si>
  <si>
    <t>Annual quota-carrying hires (input)</t>
  </si>
  <si>
    <t>change this cell and everything below reflows</t>
  </si>
  <si>
    <t>Monthly hires (evenly phased)</t>
  </si>
  <si>
    <t>Month</t>
  </si>
  <si>
    <t>New hires</t>
  </si>
  <si>
    <t>Attrition</t>
  </si>
  <si>
    <t>Ending QCR
headcount</t>
  </si>
  <si>
    <t>Fully ramped
from FY26 hires</t>
  </si>
  <si>
    <t>Partially ramped
from FY26 hires</t>
  </si>
  <si>
    <t>Ramped-equiv.
FTE</t>
  </si>
  <si>
    <t>Monthly capacity
($mm)</t>
  </si>
  <si>
    <t>Cumulative
($mm)</t>
  </si>
  <si>
    <t>Total / exit</t>
  </si>
  <si>
    <t>4.  CAPACITY GAP AND ILLUSTRATIVE WAYS TO CLOSE IT</t>
  </si>
  <si>
    <t>FY2026 gross new ARR capacity delivered</t>
  </si>
  <si>
    <t>Required gross new ARR (guidance midpoint)</t>
  </si>
  <si>
    <t>Capacity surplus / (gap)</t>
  </si>
  <si>
    <t>Capacity coverage of the plan</t>
  </si>
  <si>
    <t>Ramped-equivalent QCR-years fielded (average)</t>
  </si>
  <si>
    <t>Ramped-equivalent QCR-years required</t>
  </si>
  <si>
    <t>Shortfall in ramped QCR-years</t>
  </si>
  <si>
    <t>Option A  -  hire into it during FY2026</t>
  </si>
  <si>
    <t>Ramped-equivalent QCR-years delivered per FY2026 hire</t>
  </si>
  <si>
    <t>In-year hires required to close the gap</t>
  </si>
  <si>
    <t>Total FY2026 hires that would imply</t>
  </si>
  <si>
    <t>Option B  -  carry the capacity into the year</t>
  </si>
  <si>
    <t>Beginning QCR headcount that would have avoided the gap</t>
  </si>
  <si>
    <t>Incremental beginning headcount required</t>
  </si>
  <si>
    <t>hired and ramped during FY2025</t>
  </si>
  <si>
    <t>Option C  -  raise productivity on the reps already there</t>
  </si>
  <si>
    <t>Productivity uplift per rep required, no incremental hiring</t>
  </si>
  <si>
    <t>Implied productivity per ramped QCR under Option C ($mm)</t>
  </si>
  <si>
    <t>5.  INDICATIVE S&amp;M COST PRESSURE</t>
  </si>
  <si>
    <t>Average QCR headcount, FY2026 under the hiring plan</t>
  </si>
  <si>
    <t>Quota-carrying cost</t>
  </si>
  <si>
    <t>Implied total S&amp;M expense, FY2026</t>
  </si>
  <si>
    <t>FY2026 revenue guidance midpoint (original)</t>
  </si>
  <si>
    <t>Implied S&amp;M as % of revenue, FY2026</t>
  </si>
  <si>
    <t>S&amp;M as % of revenue, FY2025 actual</t>
  </si>
  <si>
    <t>Change in S&amp;M intensity</t>
  </si>
  <si>
    <t>before closing the capacity gap</t>
  </si>
  <si>
    <t>Guided adjusted EBITDA margin, FY2026 (original)</t>
  </si>
  <si>
    <t>Adjusted EBITDA margin, FY2025 actual</t>
  </si>
  <si>
    <t>Guided margin expansion</t>
  </si>
  <si>
    <t>Interpretation</t>
  </si>
  <si>
    <t>6.  CAPACITY AND RAMP CHARTS</t>
  </si>
  <si>
    <t>Chart data  -  the plan requirement as a flat line.</t>
  </si>
  <si>
    <t>Plan requirement</t>
  </si>
  <si>
    <t>Tab 7  |  Scenario Analysis  -  forward-modeled ARR against the guidance band</t>
  </si>
  <si>
    <t>1.  FORWARD-MODELED FY2026 ENDING ARR</t>
  </si>
  <si>
    <t>Driver / output</t>
  </si>
  <si>
    <t>Gross revenue retention (GRR)</t>
  </si>
  <si>
    <t>Expansion rate uplift vs FY2025</t>
  </si>
  <si>
    <t>FX impact on ending ARR</t>
  </si>
  <si>
    <t>Quota attainment (used in GTM Capacity only)</t>
  </si>
  <si>
    <t>(-)  Gross churn and downgrade</t>
  </si>
  <si>
    <t>(+)  Expansion and upsell</t>
  </si>
  <si>
    <t>(+)  New logo</t>
  </si>
  <si>
    <t>Ending ARR (Dec 31, 2026)</t>
  </si>
  <si>
    <t>Implied ARR growth</t>
  </si>
  <si>
    <t>2.  TEST AGAINST GUIDANCE</t>
  </si>
  <si>
    <t>Original guidance low</t>
  </si>
  <si>
    <t>Original guidance high</t>
  </si>
  <si>
    <t>Surplus / (shortfall) vs original low</t>
  </si>
  <si>
    <t>Clears original guidance?</t>
  </si>
  <si>
    <t>Revised guidance low (6 Aug 2026)</t>
  </si>
  <si>
    <t>Surplus / (shortfall) vs revised low</t>
  </si>
  <si>
    <t>Clears revised guidance?</t>
  </si>
  <si>
    <t>3.  TWO-WAY SENSITIVITY  -  FY2026 ENDING ARR ($mm)</t>
  </si>
  <si>
    <t>GRR  \  New logo growth</t>
  </si>
  <si>
    <t>Green = clears the original $581M guidance floor.   Red = falls below even the revised $562M floor.   White = between the two.</t>
  </si>
  <si>
    <t>4.  THE THREE CASES AGAINST BOTH FLOORS</t>
  </si>
  <si>
    <t>Original floor ($581M)</t>
  </si>
  <si>
    <t>Revised floor ($562M)</t>
  </si>
  <si>
    <t>Tab 8  |  Output Summary</t>
  </si>
  <si>
    <t>1.  KEY OUTPUTS</t>
  </si>
  <si>
    <t>FY2025: the growth came from the installed base</t>
  </si>
  <si>
    <t>FY2025 ending ARR (reported)</t>
  </si>
  <si>
    <t>FY2025 gross new ARR (derived)</t>
  </si>
  <si>
    <t xml:space="preserve">   of which new logo</t>
  </si>
  <si>
    <t xml:space="preserve">   of which expansion</t>
  </si>
  <si>
    <t>FY2025 gross churn and downgrade (derived)</t>
  </si>
  <si>
    <t>Expansion share of gross new ARR</t>
  </si>
  <si>
    <t>The base it came from was narrowing</t>
  </si>
  <si>
    <t>Partners with ARR &gt; $50K, FY2025</t>
  </si>
  <si>
    <t>Share of ARR held by that cohort</t>
  </si>
  <si>
    <t>Share of FY2025 ARR growth from that cohort</t>
  </si>
  <si>
    <t>Long tail ARR change, FY2025 to Q2 FY2026</t>
  </si>
  <si>
    <t>FY2026 GUIDANCE REQUIREMENT VS MODELED CAPACITY</t>
  </si>
  <si>
    <t>Required gross new ARR at guidance mid</t>
  </si>
  <si>
    <t>Ramped QCR-years required</t>
  </si>
  <si>
    <t>Ramped QCR-years fielded under the hiring plan</t>
  </si>
  <si>
    <t>Capacity gap</t>
  </si>
  <si>
    <t>Fix: ramped reps needed on 1 January</t>
  </si>
  <si>
    <t xml:space="preserve">   or: productivity uplift per rep instead</t>
  </si>
  <si>
    <t>Required qualified pipeline</t>
  </si>
  <si>
    <t>Change in implied S&amp;M intensity vs FY2025</t>
  </si>
  <si>
    <t>What the drivers deliver, against both floors</t>
  </si>
  <si>
    <t>Base case FY2026 ending ARR</t>
  </si>
  <si>
    <t>Gap to original guidance low ($581M)</t>
  </si>
  <si>
    <t>Downside case FY2026 ending ARR</t>
  </si>
  <si>
    <t>Revised guidance low, issued 6 Aug 2026</t>
  </si>
  <si>
    <t>Downside case vs revised guidance low</t>
  </si>
  <si>
    <t>2.  FINDINGS</t>
  </si>
  <si>
    <t>$ in millions unless noted</t>
  </si>
  <si>
    <t>All figures link from the underlying tabs; no calculations are performed here. $ in millions unless noted</t>
  </si>
  <si>
    <t>-  Response: about 6% workforce reduction (120 of 2,000 employees), $11M-$13M annualised savings, $4M-$6M charges [5]</t>
  </si>
  <si>
    <t>FY24, FY25 [1][3]; Q1 [4]; Q2 [5]. FY2023 DERIVED from FY2024 reported growth</t>
  </si>
  <si>
    <t>$ in millions unless noted. Blue font = reported figure | Black = calculated value | Sources in column H. FY figures are full-year; Q1/Q2 revenue and EBITDA are quarterly</t>
  </si>
  <si>
    <t>N-able does not disclose churn, expansion, or new-logo ARR. This bridge estimates each using reported ARR growth and NRR, plus a 90% GRR assumption</t>
  </si>
  <si>
    <t>$ in millions unless noted.   Read top down: what a rep produced in FY2025, what the FY2026 plan needed, and whether the hiring schedule gets there</t>
  </si>
  <si>
    <t>Chart data  -  guidance floors, drawn as flat lines across the three cases</t>
  </si>
  <si>
    <t>Retention matters most: at 90% GRR, only +20% new-logo growth clears the original floor; below 90%, even +20% does not</t>
  </si>
  <si>
    <t>Rows = gross revenue retention. Columns = new logo ARR growth vs FY2025. Expansion held at the FY2025 rate, FX at zero</t>
  </si>
  <si>
    <t>Each case applies its own retention, expansion, new-logo, and FX assumptions. ARR outputs are not capped by the GTM capacity schedule</t>
  </si>
  <si>
    <t>1.  Expansion contributed 73.4% of FY2025 gross new ARR; new logo contributed 26.6%</t>
  </si>
  <si>
    <t>2.  Partners above $50K generated 94.4% of FY2025 ARR growth and represented 63% of ARR by Q2 FY2026</t>
  </si>
  <si>
    <t>3.  At the original guidance midpoint, new-logo ARR needed to grow 21.9% if expansion remained at the FY2025 rate</t>
  </si>
  <si>
    <t>4.  Under the modeled 96-hire plan, sales capacity covers 91.1% of required gross new ARR. This is a modeled staffing case, not a disclosed company hiring plan</t>
  </si>
  <si>
    <t>5.  The base operating case produces $580.4M of ending ARR, $0.6M below the original guidance floor. The ARR scenario is not capped by the capacity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</si>
</sst>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\+0.0%;\(0.0%\)"/>
    <numFmt numFmtId="166" formatCode="\$#,##0.0\M;&quot;-$&quot;#,##0.0\M"/>
    <numFmt numFmtId="167" formatCode="0.0%;\(0.0%\);\-"/>
    <numFmt numFmtId="168" formatCode="#,##0.0;\(#,##0.0\);\-"/>
    <numFmt numFmtId="169" formatCode="#,##0;\(#,##0\);\-"/>
    <numFmt numFmtId="170" formatCode="0.0\x"/>
    <numFmt numFmtId="171" formatCode="0.0%;\(0.0%\)"/>
    <numFmt numFmtId="172" formatCode="#,##0.00;\(#,##0.00\);\-"/>
    <numFmt numFmtId="173" formatCode="#,##0.0"/>
    <numFmt numFmtId="174" formatCode="#,##0.0;\(#,##0.0\)"/>
    <numFmt numFmtId="175" formatCode="#,##0&quot; bps&quot;;\(#,##0&quot; bps)&quot;;\-"/>
    <numFmt numFmtId="176" formatCode="\(#,##0.0\);\(#,##0.0\)"/>
  </numFmts>
  <fonts count="3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b/>
      <sz val="11"/>
      <color rgb="FF1F3864"/>
      <name val="Arial"/>
      <family val="2"/>
    </font>
    <font>
      <sz val="9"/>
      <name val="Arial"/>
      <family val="2"/>
    </font>
    <font>
      <sz val="10"/>
      <color rgb="FF595959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1F3864"/>
      <name val="Calibri"/>
      <family val="2"/>
    </font>
    <font>
      <u/>
      <sz val="10"/>
      <color rgb="FF0563C1"/>
      <name val="Calibri"/>
      <family val="2"/>
    </font>
    <font>
      <i/>
      <sz val="10"/>
      <color rgb="FF595959"/>
      <name val="Calibri"/>
      <family val="2"/>
    </font>
    <font>
      <b/>
      <sz val="10"/>
      <color rgb="FF595959"/>
      <name val="Calibri"/>
      <family val="2"/>
    </font>
    <font>
      <sz val="11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8000"/>
      <name val="Calibri"/>
      <family val="2"/>
    </font>
    <font>
      <b/>
      <sz val="14"/>
      <color rgb="FFC00000"/>
      <name val="Calibri"/>
      <family val="2"/>
    </font>
    <font>
      <b/>
      <sz val="7"/>
      <color theme="1"/>
      <name val="Calibri"/>
      <family val="2"/>
    </font>
    <font>
      <sz val="14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10"/>
      <color rgb="FF0070C0"/>
      <name val="Calibri"/>
      <family val="2"/>
    </font>
    <font>
      <b/>
      <sz val="10"/>
      <color rgb="FF0070C0"/>
      <name val="Calibri"/>
      <family val="2"/>
    </font>
    <font>
      <b/>
      <sz val="14"/>
      <color rgb="FF0070C0"/>
      <name val="Calibri"/>
      <family val="2"/>
    </font>
    <font>
      <sz val="10"/>
      <color theme="1" tint="0.34998626667073579"/>
      <name val="Calibri"/>
      <family val="2"/>
    </font>
    <font>
      <i/>
      <sz val="6"/>
      <color rgb="FF595959"/>
      <name val="Calibri"/>
      <family val="2"/>
    </font>
    <font>
      <i/>
      <sz val="10"/>
      <color theme="1" tint="0.34998626667073579"/>
      <name val="Calibri"/>
      <family val="2"/>
    </font>
    <font>
      <b/>
      <sz val="14"/>
      <color rgb="FF0D385C"/>
      <name val="Arial"/>
      <family val="2"/>
    </font>
    <font>
      <b/>
      <sz val="11"/>
      <color rgb="FF0D385C"/>
      <name val="Arial"/>
      <family val="2"/>
    </font>
    <font>
      <b/>
      <sz val="10"/>
      <color rgb="FF0D385C"/>
      <name val="Calibri"/>
      <family val="2"/>
    </font>
    <font>
      <sz val="10"/>
      <color rgb="FF0D385C"/>
      <name val="Calibri"/>
      <family val="2"/>
    </font>
    <font>
      <i/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theme="0" tint="-4.9989318521683403E-2"/>
        <bgColor rgb="FF40404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D385C"/>
        <bgColor rgb="FF333399"/>
      </patternFill>
    </fill>
    <fill>
      <patternFill patternType="solid">
        <fgColor theme="4" tint="0.79998168889431442"/>
        <bgColor rgb="FF3333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8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" fontId="15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7" fontId="16" fillId="0" borderId="0" xfId="0" applyNumberFormat="1" applyFont="1"/>
    <xf numFmtId="167" fontId="8" fillId="4" borderId="0" xfId="0" applyNumberFormat="1" applyFont="1" applyFill="1"/>
    <xf numFmtId="168" fontId="8" fillId="4" borderId="0" xfId="0" applyNumberFormat="1" applyFont="1" applyFill="1"/>
    <xf numFmtId="168" fontId="8" fillId="0" borderId="0" xfId="0" applyNumberFormat="1" applyFont="1"/>
    <xf numFmtId="167" fontId="8" fillId="0" borderId="0" xfId="0" applyNumberFormat="1" applyFont="1"/>
    <xf numFmtId="168" fontId="9" fillId="0" borderId="0" xfId="0" applyNumberFormat="1" applyFont="1"/>
    <xf numFmtId="0" fontId="6" fillId="6" borderId="0" xfId="0" applyFont="1" applyFill="1"/>
    <xf numFmtId="0" fontId="18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 wrapText="1"/>
    </xf>
    <xf numFmtId="168" fontId="19" fillId="0" borderId="0" xfId="0" applyNumberFormat="1" applyFont="1"/>
    <xf numFmtId="167" fontId="19" fillId="0" borderId="0" xfId="0" applyNumberFormat="1" applyFont="1"/>
    <xf numFmtId="168" fontId="9" fillId="0" borderId="1" xfId="0" applyNumberFormat="1" applyFont="1" applyBorder="1"/>
    <xf numFmtId="172" fontId="8" fillId="0" borderId="0" xfId="0" applyNumberFormat="1" applyFont="1"/>
    <xf numFmtId="168" fontId="9" fillId="4" borderId="0" xfId="0" applyNumberFormat="1" applyFont="1" applyFill="1"/>
    <xf numFmtId="167" fontId="9" fillId="4" borderId="0" xfId="0" applyNumberFormat="1" applyFont="1" applyFill="1"/>
    <xf numFmtId="0" fontId="18" fillId="5" borderId="0" xfId="0" applyFont="1" applyFill="1" applyAlignment="1">
      <alignment horizontal="center"/>
    </xf>
    <xf numFmtId="169" fontId="19" fillId="0" borderId="0" xfId="0" applyNumberFormat="1" applyFont="1"/>
    <xf numFmtId="169" fontId="8" fillId="0" borderId="0" xfId="0" applyNumberFormat="1" applyFont="1"/>
    <xf numFmtId="169" fontId="9" fillId="4" borderId="0" xfId="0" applyNumberFormat="1" applyFont="1" applyFill="1"/>
    <xf numFmtId="172" fontId="9" fillId="4" borderId="0" xfId="0" applyNumberFormat="1" applyFont="1" applyFill="1"/>
    <xf numFmtId="170" fontId="19" fillId="0" borderId="0" xfId="0" applyNumberFormat="1" applyFont="1"/>
    <xf numFmtId="173" fontId="8" fillId="0" borderId="0" xfId="0" applyNumberFormat="1" applyFont="1"/>
    <xf numFmtId="174" fontId="8" fillId="0" borderId="0" xfId="0" applyNumberFormat="1" applyFont="1"/>
    <xf numFmtId="169" fontId="9" fillId="0" borderId="0" xfId="0" applyNumberFormat="1" applyFont="1"/>
    <xf numFmtId="0" fontId="10" fillId="0" borderId="0" xfId="0" applyFont="1"/>
    <xf numFmtId="175" fontId="9" fillId="4" borderId="0" xfId="0" applyNumberFormat="1" applyFont="1" applyFill="1"/>
    <xf numFmtId="171" fontId="18" fillId="5" borderId="0" xfId="0" applyNumberFormat="1" applyFont="1" applyFill="1" applyAlignment="1">
      <alignment horizontal="center"/>
    </xf>
    <xf numFmtId="176" fontId="8" fillId="0" borderId="0" xfId="0" applyNumberFormat="1" applyFont="1"/>
    <xf numFmtId="175" fontId="8" fillId="0" borderId="0" xfId="0" applyNumberFormat="1" applyFont="1"/>
    <xf numFmtId="0" fontId="18" fillId="0" borderId="0" xfId="0" applyFont="1"/>
    <xf numFmtId="0" fontId="21" fillId="0" borderId="0" xfId="0" applyFont="1" applyAlignment="1">
      <alignment horizontal="center" wrapText="1"/>
    </xf>
    <xf numFmtId="0" fontId="22" fillId="0" borderId="0" xfId="0" applyFont="1"/>
    <xf numFmtId="0" fontId="23" fillId="0" borderId="0" xfId="0" applyFont="1"/>
    <xf numFmtId="167" fontId="24" fillId="0" borderId="0" xfId="0" applyNumberFormat="1" applyFont="1"/>
    <xf numFmtId="168" fontId="24" fillId="0" borderId="0" xfId="0" applyNumberFormat="1" applyFont="1"/>
    <xf numFmtId="167" fontId="25" fillId="3" borderId="0" xfId="0" applyNumberFormat="1" applyFont="1" applyFill="1"/>
    <xf numFmtId="169" fontId="24" fillId="0" borderId="0" xfId="0" applyNumberFormat="1" applyFont="1"/>
    <xf numFmtId="170" fontId="24" fillId="0" borderId="0" xfId="0" applyNumberFormat="1" applyFont="1"/>
    <xf numFmtId="171" fontId="24" fillId="0" borderId="0" xfId="0" applyNumberFormat="1" applyFont="1"/>
    <xf numFmtId="169" fontId="25" fillId="3" borderId="0" xfId="0" applyNumberFormat="1" applyFont="1" applyFill="1" applyAlignment="1">
      <alignment horizontal="center"/>
    </xf>
    <xf numFmtId="0" fontId="18" fillId="0" borderId="0" xfId="0" applyFont="1" applyAlignment="1">
      <alignment horizontal="center"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164" fontId="26" fillId="6" borderId="0" xfId="0" applyNumberFormat="1" applyFont="1" applyFill="1" applyAlignment="1">
      <alignment horizontal="center" vertical="center"/>
    </xf>
    <xf numFmtId="165" fontId="26" fillId="6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center" vertical="center"/>
    </xf>
    <xf numFmtId="166" fontId="20" fillId="6" borderId="0" xfId="0" applyNumberFormat="1" applyFont="1" applyFill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7" fillId="7" borderId="0" xfId="0" applyFont="1" applyFill="1"/>
    <xf numFmtId="0" fontId="6" fillId="7" borderId="0" xfId="0" applyFont="1" applyFill="1"/>
    <xf numFmtId="0" fontId="32" fillId="8" borderId="0" xfId="0" applyFont="1" applyFill="1"/>
    <xf numFmtId="0" fontId="33" fillId="8" borderId="0" xfId="0" applyFont="1" applyFill="1"/>
    <xf numFmtId="0" fontId="9" fillId="9" borderId="1" xfId="0" applyFont="1" applyFill="1" applyBorder="1"/>
    <xf numFmtId="174" fontId="9" fillId="9" borderId="1" xfId="0" applyNumberFormat="1" applyFont="1" applyFill="1" applyBorder="1"/>
    <xf numFmtId="0" fontId="6" fillId="9" borderId="1" xfId="0" applyFont="1" applyFill="1" applyBorder="1"/>
    <xf numFmtId="172" fontId="9" fillId="9" borderId="1" xfId="0" applyNumberFormat="1" applyFont="1" applyFill="1" applyBorder="1"/>
    <xf numFmtId="0" fontId="10" fillId="6" borderId="0" xfId="0" applyFont="1" applyFill="1"/>
    <xf numFmtId="0" fontId="9" fillId="10" borderId="0" xfId="0" applyFont="1" applyFill="1"/>
    <xf numFmtId="168" fontId="9" fillId="11" borderId="0" xfId="0" applyNumberFormat="1" applyFont="1" applyFill="1"/>
    <xf numFmtId="167" fontId="9" fillId="11" borderId="0" xfId="0" applyNumberFormat="1" applyFont="1" applyFill="1"/>
    <xf numFmtId="168" fontId="8" fillId="0" borderId="2" xfId="0" applyNumberFormat="1" applyFont="1" applyBorder="1"/>
    <xf numFmtId="0" fontId="34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8" fillId="0" borderId="0" xfId="0" quotePrefix="1" applyFont="1"/>
    <xf numFmtId="0" fontId="8" fillId="0" borderId="0" xfId="0" applyFont="1"/>
    <xf numFmtId="0" fontId="10" fillId="0" borderId="0" xfId="0" applyFont="1"/>
  </cellXfs>
  <cellStyles count="1">
    <cellStyle name="Normal" xfId="0" builtinId="0"/>
  </cellStyles>
  <dxfs count="11"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9000"/>
      <rgbColor rgb="FFFF6600"/>
      <rgbColor rgb="FF595959"/>
      <rgbColor rgb="FF7F7F7F"/>
      <rgbColor rgb="FF1F3864"/>
      <rgbColor rgb="FF4F81BD"/>
      <rgbColor rgb="FF0061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3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 strike="noStrike" spc="-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FY2025 ARR bridge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 Bridge'!$B$75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Bridge'!$B$76:$B$81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433.8</c:v>
                </c:pt>
                <c:pt idx="2">
                  <c:v>433.8</c:v>
                </c:pt>
                <c:pt idx="3">
                  <c:v>496.46000000000004</c:v>
                </c:pt>
                <c:pt idx="4">
                  <c:v>519.11400000000003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2-D842-AF11-2DFB64E5B6DD}"/>
            </c:ext>
          </c:extLst>
        </c:ser>
        <c:ser>
          <c:idx val="1"/>
          <c:order val="1"/>
          <c:tx>
            <c:strRef>
              <c:f>'ARR Bridge'!$C$75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C1F2-D842-AF11-2DFB64E5B6DD}"/>
              </c:ext>
            </c:extLst>
          </c:dPt>
          <c:dPt>
            <c:idx val="2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C1F2-D842-AF11-2DFB64E5B6DD}"/>
              </c:ext>
            </c:extLst>
          </c:dPt>
          <c:dPt>
            <c:idx val="3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C1F2-D842-AF11-2DFB64E5B6DD}"/>
              </c:ext>
            </c:extLst>
          </c:dPt>
          <c:dPt>
            <c:idx val="4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C1F2-D842-AF11-2DFB64E5B6DD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F2-D842-AF11-2DFB64E5B6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F2-D842-AF11-2DFB64E5B6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F2-D842-AF11-2DFB64E5B6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F2-D842-AF11-2DFB64E5B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Bridge'!$C$76:$C$81</c:f>
              <c:numCache>
                <c:formatCode>#,##0.0;\(#,##0.0\);\-</c:formatCode>
                <c:ptCount val="6"/>
                <c:pt idx="0">
                  <c:v>482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539.70000000000005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F2-D842-AF11-2DFB64E5B6DD}"/>
            </c:ext>
          </c:extLst>
        </c:ser>
        <c:ser>
          <c:idx val="2"/>
          <c:order val="2"/>
          <c:tx>
            <c:strRef>
              <c:f>'ARR Bridge'!$D$75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1F2-D842-AF11-2DFB64E5B6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C1F2-D842-AF11-2DFB64E5B6D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1F2-D842-AF11-2DFB64E5B6D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1F2-D842-AF11-2DFB64E5B6D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1F2-D842-AF11-2DFB64E5B6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F2-D842-AF11-2DFB64E5B6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F2-D842-AF11-2DFB64E5B6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F2-D842-AF11-2DFB64E5B6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F2-D842-AF11-2DFB64E5B6D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F2-D842-AF11-2DFB64E5B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Bridge'!$D$76:$D$81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48.199999999999989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1F2-D842-AF11-2DFB64E5B6DD}"/>
            </c:ext>
          </c:extLst>
        </c:ser>
        <c:ser>
          <c:idx val="3"/>
          <c:order val="3"/>
          <c:tx>
            <c:strRef>
              <c:f>'ARR Bridge'!$E$75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C1F2-D842-AF11-2DFB64E5B6D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C1F2-D842-AF11-2DFB64E5B6D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C1F2-D842-AF11-2DFB64E5B6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1F2-D842-AF11-2DFB64E5B6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1F2-D842-AF11-2DFB64E5B6D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1F2-D842-AF11-2DFB64E5B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Bridge'!$E$76:$E$81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62.660000000000025</c:v>
                </c:pt>
                <c:pt idx="3">
                  <c:v>22.653999999999996</c:v>
                </c:pt>
                <c:pt idx="4">
                  <c:v>20.586000000000013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1F2-D842-AF11-2DFB64E5B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5717297"/>
        <c:axId val="81291133"/>
      </c:barChart>
      <c:catAx>
        <c:axId val="957172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91133"/>
        <c:crosses val="autoZero"/>
        <c:auto val="1"/>
        <c:lblAlgn val="ctr"/>
        <c:lblOffset val="100"/>
        <c:noMultiLvlLbl val="0"/>
      </c:catAx>
      <c:valAx>
        <c:axId val="81291133"/>
        <c:scaling>
          <c:orientation val="minMax"/>
          <c:max val="560"/>
          <c:min val="42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17297"/>
        <c:crosses val="autoZero"/>
        <c:crossBetween val="between"/>
        <c:majorUnit val="3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ARR by Partner Cohort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Segmentation!$A$12</c:f>
              <c:strCache>
                <c:ptCount val="1"/>
                <c:pt idx="0">
                  <c:v>ARR from &lt; $50K long tail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Segmentation!$B$6:$D$6</c:f>
              <c:strCache>
                <c:ptCount val="3"/>
                <c:pt idx="0">
                  <c:v>FY2024A</c:v>
                </c:pt>
                <c:pt idx="1">
                  <c:v>FY2025A</c:v>
                </c:pt>
                <c:pt idx="2">
                  <c:v>Q2 FY2026A</c:v>
                </c:pt>
              </c:strCache>
            </c:strRef>
          </c:cat>
          <c:val>
            <c:numRef>
              <c:f>Segmentation!$B$12:$D$12</c:f>
              <c:numCache>
                <c:formatCode>#,##0.0;\(#,##0.0\);\-</c:formatCode>
                <c:ptCount val="3"/>
                <c:pt idx="0">
                  <c:v>207.26000000000005</c:v>
                </c:pt>
                <c:pt idx="1">
                  <c:v>210.483</c:v>
                </c:pt>
                <c:pt idx="2">
                  <c:v>201.46499999999997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4-BE40-A21A-464AC712F1D1}"/>
            </c:ext>
          </c:extLst>
        </c:ser>
        <c:ser>
          <c:idx val="1"/>
          <c:order val="1"/>
          <c:tx>
            <c:strRef>
              <c:f>Segmentation!$A$11</c:f>
              <c:strCache>
                <c:ptCount val="1"/>
                <c:pt idx="0">
                  <c:v>ARR from &gt; $50K partners</c:v>
                </c:pt>
              </c:strCache>
            </c:strRef>
          </c:tx>
          <c:spPr>
            <a:solidFill>
              <a:schemeClr val="tx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Segmentation!$B$6:$D$6</c:f>
              <c:strCache>
                <c:ptCount val="3"/>
                <c:pt idx="0">
                  <c:v>FY2024A</c:v>
                </c:pt>
                <c:pt idx="1">
                  <c:v>FY2025A</c:v>
                </c:pt>
                <c:pt idx="2">
                  <c:v>Q2 FY2026A</c:v>
                </c:pt>
              </c:strCache>
            </c:strRef>
          </c:cat>
          <c:val>
            <c:numRef>
              <c:f>Segmentation!$B$11:$D$11</c:f>
              <c:numCache>
                <c:formatCode>#,##0.0;\(#,##0.0\);\-</c:formatCode>
                <c:ptCount val="3"/>
                <c:pt idx="0">
                  <c:v>274.73999999999995</c:v>
                </c:pt>
                <c:pt idx="1">
                  <c:v>329.21700000000004</c:v>
                </c:pt>
                <c:pt idx="2">
                  <c:v>343.03500000000003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4-BE40-A21A-464AC712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10909"/>
        <c:axId val="61295521"/>
      </c:barChart>
      <c:catAx>
        <c:axId val="15109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95521"/>
        <c:crosses val="autoZero"/>
        <c:auto val="1"/>
        <c:lblAlgn val="ctr"/>
        <c:lblOffset val="100"/>
        <c:noMultiLvlLbl val="0"/>
      </c:catAx>
      <c:valAx>
        <c:axId val="612955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09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Cumulative capacity vs the plan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'GTM Capacity'!$I$34</c:f>
              <c:strCache>
                <c:ptCount val="1"/>
                <c:pt idx="0">
                  <c:v>Cumulative
($mm)</c:v>
                </c:pt>
              </c:strCache>
            </c:strRef>
          </c:tx>
          <c:spPr>
            <a:ln w="255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Capacity'!$I$35:$I$46</c:f>
              <c:numCache>
                <c:formatCode>#,##0.00;\(#,##0.00\);\-</c:formatCode>
                <c:ptCount val="12"/>
                <c:pt idx="0">
                  <c:v>7.5014609540000032</c:v>
                </c:pt>
                <c:pt idx="1">
                  <c:v>14.887235940917625</c:v>
                </c:pt>
                <c:pt idx="2">
                  <c:v>22.155896197486722</c:v>
                </c:pt>
                <c:pt idx="3">
                  <c:v>29.411502817636173</c:v>
                </c:pt>
                <c:pt idx="4">
                  <c:v>36.652669579526076</c:v>
                </c:pt>
                <c:pt idx="5">
                  <c:v>43.878031054644147</c:v>
                </c:pt>
                <c:pt idx="6">
                  <c:v>51.191710721651795</c:v>
                </c:pt>
                <c:pt idx="7">
                  <c:v>58.592383807670679</c:v>
                </c:pt>
                <c:pt idx="8">
                  <c:v>66.078745411415639</c:v>
                </c:pt>
                <c:pt idx="9">
                  <c:v>73.649510205120777</c:v>
                </c:pt>
                <c:pt idx="10">
                  <c:v>81.303412140936686</c:v>
                </c:pt>
                <c:pt idx="11">
                  <c:v>89.039204161731703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D-0E4A-A278-A81CEB6C9182}"/>
            </c:ext>
          </c:extLst>
        </c:ser>
        <c:ser>
          <c:idx val="1"/>
          <c:order val="1"/>
          <c:tx>
            <c:strRef>
              <c:f>'GTM Capacity'!$A$105</c:f>
              <c:strCache>
                <c:ptCount val="1"/>
                <c:pt idx="0">
                  <c:v>Plan requirement</c:v>
                </c:pt>
              </c:strCache>
            </c:strRef>
          </c:tx>
          <c:spPr>
            <a:ln w="1908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Capacity'!$B$105:$M$105</c:f>
              <c:numCache>
                <c:formatCode>#,##0.0;\(#,##0.0\);\-</c:formatCode>
                <c:ptCount val="12"/>
                <c:pt idx="0">
                  <c:v>97.769999999999953</c:v>
                </c:pt>
                <c:pt idx="1">
                  <c:v>97.769999999999953</c:v>
                </c:pt>
                <c:pt idx="2">
                  <c:v>97.769999999999953</c:v>
                </c:pt>
                <c:pt idx="3">
                  <c:v>97.769999999999953</c:v>
                </c:pt>
                <c:pt idx="4">
                  <c:v>97.769999999999953</c:v>
                </c:pt>
                <c:pt idx="5">
                  <c:v>97.769999999999953</c:v>
                </c:pt>
                <c:pt idx="6">
                  <c:v>97.769999999999953</c:v>
                </c:pt>
                <c:pt idx="7">
                  <c:v>97.769999999999953</c:v>
                </c:pt>
                <c:pt idx="8">
                  <c:v>97.769999999999953</c:v>
                </c:pt>
                <c:pt idx="9">
                  <c:v>97.769999999999953</c:v>
                </c:pt>
                <c:pt idx="10">
                  <c:v>97.769999999999953</c:v>
                </c:pt>
                <c:pt idx="11">
                  <c:v>97.769999999999953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D-0E4A-A278-A81CEB6C9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090534"/>
        <c:axId val="38409987"/>
      </c:lineChart>
      <c:catAx>
        <c:axId val="5509053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09987"/>
        <c:crosses val="autoZero"/>
        <c:auto val="1"/>
        <c:lblAlgn val="ctr"/>
        <c:lblOffset val="100"/>
        <c:noMultiLvlLbl val="0"/>
      </c:catAx>
      <c:valAx>
        <c:axId val="38409987"/>
        <c:scaling>
          <c:orientation val="minMax"/>
          <c:max val="105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90534"/>
        <c:crosses val="autoZero"/>
        <c:crossBetween val="between"/>
        <c:majorUnit val="25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3.8692307692307699E-2"/>
          <c:y val="0.84046889653016565"/>
          <c:w val="0.89697435897435895"/>
          <c:h val="0.1330644993227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Ramped-equivalent FTEs fielded,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'GTM Capacity'!$G$34</c:f>
              <c:strCache>
                <c:ptCount val="1"/>
                <c:pt idx="0">
                  <c:v>Ramped-equiv.
FTE</c:v>
                </c:pt>
              </c:strCache>
            </c:strRef>
          </c:tx>
          <c:spPr>
            <a:ln w="255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Capacity'!$G$35:$G$46</c:f>
              <c:numCache>
                <c:formatCode>#,##0.0</c:formatCode>
                <c:ptCount val="12"/>
                <c:pt idx="0">
                  <c:v>284.50072714893628</c:v>
                </c:pt>
                <c:pt idx="1">
                  <c:v>280.11321624170222</c:v>
                </c:pt>
                <c:pt idx="2">
                  <c:v>275.67151799807669</c:v>
                </c:pt>
                <c:pt idx="3">
                  <c:v>275.17644522810554</c:v>
                </c:pt>
                <c:pt idx="4">
                  <c:v>274.62879854968395</c:v>
                </c:pt>
                <c:pt idx="5">
                  <c:v>274.02936657143869</c:v>
                </c:pt>
                <c:pt idx="6">
                  <c:v>277.3789260728671</c:v>
                </c:pt>
                <c:pt idx="7">
                  <c:v>280.67824218177412</c:v>
                </c:pt>
                <c:pt idx="8">
                  <c:v>283.92806854904751</c:v>
                </c:pt>
                <c:pt idx="9">
                  <c:v>287.12914752081178</c:v>
                </c:pt>
                <c:pt idx="10">
                  <c:v>290.28221030799961</c:v>
                </c:pt>
                <c:pt idx="11">
                  <c:v>293.38797715337961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B-6F48-9D11-A882395D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372964"/>
        <c:axId val="84435707"/>
      </c:lineChart>
      <c:catAx>
        <c:axId val="1737296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35707"/>
        <c:crosses val="autoZero"/>
        <c:auto val="1"/>
        <c:lblAlgn val="ctr"/>
        <c:lblOffset val="100"/>
        <c:noMultiLvlLbl val="0"/>
      </c:catAx>
      <c:valAx>
        <c:axId val="84435707"/>
        <c:scaling>
          <c:orientation val="minMax"/>
          <c:max val="300"/>
          <c:min val="26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72964"/>
        <c:crosses val="autoZero"/>
        <c:crossBetween val="between"/>
        <c:majorUnit val="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FY2026 ending ARR by case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Scenarios!$A$19</c:f>
              <c:strCache>
                <c:ptCount val="1"/>
                <c:pt idx="0">
                  <c:v>Ending ARR (Dec 31, 2026)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8C8-AD4D-A599-EF921D8F824E}"/>
              </c:ext>
            </c:extLst>
          </c:dPt>
          <c:dPt>
            <c:idx val="1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8C8-AD4D-A599-EF921D8F824E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8C8-AD4D-A599-EF921D8F824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8-AD4D-A599-EF921D8F824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8-AD4D-A599-EF921D8F824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8-AD4D-A599-EF921D8F8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Scenarios!$B$19:$D$19</c:f>
              <c:numCache>
                <c:formatCode>#,##0.0;\(#,##0.0\);\-</c:formatCode>
                <c:ptCount val="3"/>
                <c:pt idx="0">
                  <c:v>559.45950000000005</c:v>
                </c:pt>
                <c:pt idx="1">
                  <c:v>580.35732000000007</c:v>
                </c:pt>
                <c:pt idx="2">
                  <c:v>606.96530000000007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8-AD4D-A599-EF921D8F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1970127"/>
        <c:axId val="57725881"/>
      </c:barChart>
      <c:lineChart>
        <c:grouping val="standard"/>
        <c:varyColors val="0"/>
        <c:ser>
          <c:idx val="1"/>
          <c:order val="1"/>
          <c:tx>
            <c:strRef>
              <c:f>Scenarios!$A$65</c:f>
              <c:strCache>
                <c:ptCount val="1"/>
                <c:pt idx="0">
                  <c:v>Original floor ($581M)</c:v>
                </c:pt>
              </c:strCache>
            </c:strRef>
          </c:tx>
          <c:spPr>
            <a:ln w="1908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Scenarios!$B$65:$D$65</c:f>
              <c:numCache>
                <c:formatCode>#,##0.0;\(#,##0.0\);\-</c:formatCode>
                <c:ptCount val="3"/>
                <c:pt idx="0">
                  <c:v>581</c:v>
                </c:pt>
                <c:pt idx="1">
                  <c:v>581</c:v>
                </c:pt>
                <c:pt idx="2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C8-AD4D-A599-EF921D8F824E}"/>
            </c:ext>
          </c:extLst>
        </c:ser>
        <c:ser>
          <c:idx val="2"/>
          <c:order val="2"/>
          <c:tx>
            <c:strRef>
              <c:f>Scenarios!$A$66</c:f>
              <c:strCache>
                <c:ptCount val="1"/>
                <c:pt idx="0">
                  <c:v>Revised floor ($562M)</c:v>
                </c:pt>
              </c:strCache>
            </c:strRef>
          </c:tx>
          <c:spPr>
            <a:ln w="19080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Scenarios!$B$66:$D$66</c:f>
              <c:numCache>
                <c:formatCode>#,##0.0;\(#,##0.0\);\-</c:formatCode>
                <c:ptCount val="3"/>
                <c:pt idx="0">
                  <c:v>562</c:v>
                </c:pt>
                <c:pt idx="1">
                  <c:v>562</c:v>
                </c:pt>
                <c:pt idx="2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8-AD4D-A599-EF921D8F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70127"/>
        <c:axId val="57725881"/>
      </c:lineChart>
      <c:catAx>
        <c:axId val="41970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25881"/>
        <c:crosses val="autoZero"/>
        <c:auto val="1"/>
        <c:lblAlgn val="ctr"/>
        <c:lblOffset val="100"/>
        <c:noMultiLvlLbl val="0"/>
      </c:catAx>
      <c:valAx>
        <c:axId val="57725881"/>
        <c:scaling>
          <c:orientation val="minMax"/>
          <c:max val="620"/>
          <c:min val="54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70127"/>
        <c:crosses val="autoZero"/>
        <c:crossBetween val="between"/>
        <c:majorUnit val="20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3</xdr:col>
      <xdr:colOff>363240</xdr:colOff>
      <xdr:row>71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</xdr:col>
      <xdr:colOff>160560</xdr:colOff>
      <xdr:row>47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0</xdr:rowOff>
    </xdr:from>
    <xdr:to>
      <xdr:col>2</xdr:col>
      <xdr:colOff>228600</xdr:colOff>
      <xdr:row>101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86</xdr:row>
      <xdr:rowOff>0</xdr:rowOff>
    </xdr:from>
    <xdr:to>
      <xdr:col>8</xdr:col>
      <xdr:colOff>596900</xdr:colOff>
      <xdr:row>101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2</xdr:col>
      <xdr:colOff>340560</xdr:colOff>
      <xdr:row>61</xdr:row>
      <xdr:rowOff>11520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news/transcripts/earnings-call-transcript-nable-q4-2024-reveals-earnings-beat-shares-drop-93CH-3902926" TargetMode="External"/><Relationship Id="rId2" Type="http://schemas.openxmlformats.org/officeDocument/2006/relationships/hyperlink" Target="https://www.fool.com/earnings/call-transcripts/2026/02/19/n-able-nabl-q4-2025-earnings-call-transcript/" TargetMode="External"/><Relationship Id="rId1" Type="http://schemas.openxmlformats.org/officeDocument/2006/relationships/hyperlink" Target="https://www.sec.gov/Archives/edgar/data/1834488/000183448826000004/nabl-20251231x8kxex991.htm" TargetMode="External"/><Relationship Id="rId6" Type="http://schemas.openxmlformats.org/officeDocument/2006/relationships/hyperlink" Target="https://investors.n-able.com/news/news-details/2025/N-able-Announces-Third-Quarter-2025-Results/default.aspx" TargetMode="External"/><Relationship Id="rId5" Type="http://schemas.openxmlformats.org/officeDocument/2006/relationships/hyperlink" Target="https://www.fool.com/earnings/call-transcripts/2026/08/17/n-able-nabl-q2-2026-earnings-call-transcript/" TargetMode="External"/><Relationship Id="rId4" Type="http://schemas.openxmlformats.org/officeDocument/2006/relationships/hyperlink" Target="https://www.businesswire.com/news/home/20260506977707/en/N-able-Announces-First-Quarter-2026-Result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A1:F31"/>
  <sheetViews>
    <sheetView showGridLines="0" zoomScaleNormal="100" workbookViewId="0">
      <selection activeCell="B2" sqref="B2"/>
    </sheetView>
  </sheetViews>
  <sheetFormatPr baseColWidth="10" defaultColWidth="8.6640625" defaultRowHeight="15" x14ac:dyDescent="0.2"/>
  <cols>
    <col min="1" max="1" width="2" customWidth="1"/>
    <col min="2" max="6" width="26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8" customHeight="1" x14ac:dyDescent="0.2">
      <c r="A2" s="1"/>
      <c r="B2" s="66" t="s">
        <v>0</v>
      </c>
      <c r="C2" s="1"/>
      <c r="D2" s="1"/>
      <c r="E2" s="1"/>
      <c r="F2" s="1"/>
    </row>
    <row r="3" spans="1:6" ht="15" customHeight="1" x14ac:dyDescent="0.2">
      <c r="A3" s="1"/>
      <c r="B3" s="67" t="s">
        <v>1</v>
      </c>
      <c r="C3" s="1"/>
      <c r="D3" s="1"/>
      <c r="E3" s="1"/>
      <c r="F3" s="1"/>
    </row>
    <row r="4" spans="1:6" ht="15" customHeight="1" x14ac:dyDescent="0.2">
      <c r="A4" s="1"/>
      <c r="B4" s="4" t="s">
        <v>2</v>
      </c>
      <c r="C4" s="5"/>
      <c r="D4" s="5"/>
      <c r="E4" s="5"/>
      <c r="F4" s="5"/>
    </row>
    <row r="5" spans="1:6" ht="15" customHeight="1" x14ac:dyDescent="0.2">
      <c r="A5" s="1"/>
      <c r="B5" s="5"/>
      <c r="C5" s="5"/>
      <c r="D5" s="5"/>
      <c r="E5" s="5"/>
      <c r="F5" s="5"/>
    </row>
    <row r="6" spans="1:6" ht="15" customHeight="1" x14ac:dyDescent="0.2">
      <c r="A6" s="1"/>
      <c r="B6" s="5"/>
      <c r="C6" s="5"/>
      <c r="D6" s="5"/>
      <c r="E6" s="5"/>
      <c r="F6" s="5"/>
    </row>
    <row r="7" spans="1:6" ht="15" customHeight="1" x14ac:dyDescent="0.2">
      <c r="A7" s="1"/>
      <c r="B7" s="68" t="s">
        <v>3</v>
      </c>
      <c r="C7" s="69"/>
      <c r="D7" s="69"/>
      <c r="E7" s="69"/>
      <c r="F7" s="69"/>
    </row>
    <row r="8" spans="1:6" ht="15" customHeight="1" x14ac:dyDescent="0.2">
      <c r="A8" s="1"/>
      <c r="B8" s="8" t="s">
        <v>4</v>
      </c>
      <c r="C8" s="5"/>
      <c r="D8" s="5"/>
      <c r="E8" s="5"/>
      <c r="F8" s="5"/>
    </row>
    <row r="9" spans="1:6" ht="15" customHeight="1" x14ac:dyDescent="0.2">
      <c r="A9" s="1"/>
      <c r="B9" s="8" t="s">
        <v>5</v>
      </c>
      <c r="C9" s="5"/>
      <c r="D9" s="5"/>
      <c r="E9" s="5"/>
      <c r="F9" s="5"/>
    </row>
    <row r="10" spans="1:6" ht="15" customHeight="1" x14ac:dyDescent="0.2">
      <c r="A10" s="1"/>
      <c r="B10" s="5"/>
      <c r="C10" s="5"/>
      <c r="D10" s="5"/>
      <c r="E10" s="5"/>
      <c r="F10" s="5"/>
    </row>
    <row r="11" spans="1:6" ht="15" customHeight="1" x14ac:dyDescent="0.2">
      <c r="A11" s="1"/>
      <c r="B11" s="68" t="s">
        <v>6</v>
      </c>
      <c r="C11" s="69"/>
      <c r="D11" s="69"/>
      <c r="E11" s="69"/>
      <c r="F11" s="69"/>
    </row>
    <row r="12" spans="1:6" ht="15" customHeight="1" x14ac:dyDescent="0.2">
      <c r="A12" s="1"/>
      <c r="B12" s="83" t="s">
        <v>7</v>
      </c>
      <c r="C12" s="83"/>
      <c r="D12" s="83"/>
      <c r="E12" s="83"/>
      <c r="F12" s="83"/>
    </row>
    <row r="13" spans="1:6" ht="15" customHeight="1" x14ac:dyDescent="0.2">
      <c r="A13" s="1"/>
      <c r="B13" s="83"/>
      <c r="C13" s="83"/>
      <c r="D13" s="83"/>
      <c r="E13" s="83"/>
      <c r="F13" s="83"/>
    </row>
    <row r="14" spans="1:6" ht="15" customHeight="1" x14ac:dyDescent="0.2">
      <c r="A14" s="1"/>
      <c r="B14" s="5"/>
      <c r="C14" s="5"/>
      <c r="D14" s="5"/>
      <c r="E14" s="5"/>
      <c r="F14" s="5"/>
    </row>
    <row r="15" spans="1:6" ht="15" customHeight="1" x14ac:dyDescent="0.2">
      <c r="A15" s="1"/>
      <c r="B15" s="68" t="s">
        <v>8</v>
      </c>
      <c r="C15" s="69"/>
      <c r="D15" s="69"/>
      <c r="E15" s="69"/>
      <c r="F15" s="69"/>
    </row>
    <row r="16" spans="1:6" ht="39.75" customHeight="1" x14ac:dyDescent="0.2">
      <c r="A16" s="1"/>
      <c r="B16" s="58" t="s">
        <v>9</v>
      </c>
      <c r="C16" s="58" t="s">
        <v>10</v>
      </c>
      <c r="D16" s="58" t="s">
        <v>11</v>
      </c>
      <c r="E16" s="58" t="s">
        <v>12</v>
      </c>
      <c r="F16" s="58" t="s">
        <v>13</v>
      </c>
    </row>
    <row r="17" spans="1:6" s="50" customFormat="1" ht="27.75" customHeight="1" x14ac:dyDescent="0.25">
      <c r="A17" s="49"/>
      <c r="B17" s="62">
        <f>'ARR Bridge'!B26</f>
        <v>0.73446327683615831</v>
      </c>
      <c r="C17" s="62">
        <f>Segmentation!C21</f>
        <v>0.94414211438474949</v>
      </c>
      <c r="D17" s="63">
        <f>'ARR Bridge'!C43</f>
        <v>0.21872516994790825</v>
      </c>
      <c r="E17" s="64">
        <f>'GTM Capacity'!B53</f>
        <v>0.9107006664798174</v>
      </c>
      <c r="F17" s="65">
        <f>Scenarios!C26</f>
        <v>-0.64267999999992753</v>
      </c>
    </row>
    <row r="18" spans="1:6" ht="28" customHeight="1" x14ac:dyDescent="0.2">
      <c r="A18" s="1"/>
      <c r="B18" s="10" t="s">
        <v>14</v>
      </c>
      <c r="C18" s="10" t="s">
        <v>15</v>
      </c>
      <c r="D18" s="10" t="s">
        <v>16</v>
      </c>
      <c r="E18" s="10" t="s">
        <v>17</v>
      </c>
      <c r="F18" s="10" t="s">
        <v>18</v>
      </c>
    </row>
    <row r="19" spans="1:6" ht="15" customHeight="1" x14ac:dyDescent="0.2">
      <c r="A19" s="1"/>
      <c r="B19" s="5"/>
      <c r="C19" s="5"/>
      <c r="D19" s="5"/>
      <c r="E19" s="5"/>
      <c r="F19" s="5"/>
    </row>
    <row r="20" spans="1:6" ht="15" customHeight="1" x14ac:dyDescent="0.2">
      <c r="A20" s="1"/>
      <c r="B20" s="70" t="s">
        <v>19</v>
      </c>
      <c r="C20" s="71"/>
      <c r="D20" s="71"/>
      <c r="E20" s="71"/>
      <c r="F20" s="71"/>
    </row>
    <row r="21" spans="1:6" ht="15" customHeight="1" x14ac:dyDescent="0.2">
      <c r="A21" s="1"/>
      <c r="B21" s="9" t="s">
        <v>20</v>
      </c>
      <c r="C21" s="8"/>
      <c r="D21" s="5"/>
      <c r="E21" s="5"/>
      <c r="F21" s="5"/>
    </row>
    <row r="22" spans="1:6" ht="15" customHeight="1" x14ac:dyDescent="0.2">
      <c r="A22" s="1"/>
      <c r="B22" s="5"/>
      <c r="C22" s="5"/>
      <c r="D22" s="5"/>
      <c r="E22" s="5"/>
      <c r="F22" s="5"/>
    </row>
    <row r="23" spans="1:6" ht="15" customHeight="1" x14ac:dyDescent="0.2">
      <c r="A23" s="1"/>
      <c r="B23" s="70" t="s">
        <v>21</v>
      </c>
      <c r="C23" s="71"/>
      <c r="D23" s="71"/>
      <c r="E23" s="71"/>
      <c r="F23" s="71"/>
    </row>
    <row r="24" spans="1:6" ht="15" customHeight="1" x14ac:dyDescent="0.2">
      <c r="A24" s="1"/>
      <c r="B24" s="11" t="s">
        <v>22</v>
      </c>
      <c r="C24" s="5"/>
      <c r="D24" s="5"/>
      <c r="E24" s="5"/>
      <c r="F24" s="5"/>
    </row>
    <row r="25" spans="1:6" ht="15" customHeight="1" x14ac:dyDescent="0.2">
      <c r="A25" s="1"/>
      <c r="B25" s="11" t="s">
        <v>23</v>
      </c>
      <c r="C25" s="5"/>
      <c r="D25" s="5"/>
      <c r="E25" s="5"/>
      <c r="F25" s="5"/>
    </row>
    <row r="26" spans="1:6" ht="15" customHeight="1" x14ac:dyDescent="0.2">
      <c r="A26" s="1"/>
      <c r="B26" s="11" t="s">
        <v>24</v>
      </c>
      <c r="C26" s="5"/>
      <c r="D26" s="5"/>
      <c r="E26" s="5"/>
      <c r="F26" s="5"/>
    </row>
    <row r="27" spans="1:6" ht="15" customHeight="1" x14ac:dyDescent="0.2">
      <c r="A27" s="1"/>
      <c r="B27" s="11" t="s">
        <v>25</v>
      </c>
      <c r="C27" s="5"/>
      <c r="D27" s="5"/>
      <c r="E27" s="5"/>
      <c r="F27" s="5"/>
    </row>
    <row r="28" spans="1:6" ht="15" customHeight="1" x14ac:dyDescent="0.2">
      <c r="A28" s="1"/>
      <c r="B28" s="11" t="s">
        <v>26</v>
      </c>
      <c r="C28" s="5"/>
      <c r="D28" s="5"/>
      <c r="E28" s="5"/>
      <c r="F28" s="5"/>
    </row>
    <row r="29" spans="1:6" ht="15" customHeight="1" x14ac:dyDescent="0.2">
      <c r="A29" s="1"/>
      <c r="B29" s="11" t="s">
        <v>27</v>
      </c>
      <c r="C29" s="5"/>
      <c r="D29" s="5"/>
      <c r="E29" s="5"/>
      <c r="F29" s="5"/>
    </row>
    <row r="30" spans="1:6" ht="15" customHeight="1" x14ac:dyDescent="0.2">
      <c r="A30" s="1"/>
      <c r="B30" s="5"/>
      <c r="C30" s="5"/>
      <c r="D30" s="5"/>
      <c r="E30" s="5"/>
      <c r="F30" s="5"/>
    </row>
    <row r="31" spans="1:6" ht="15" customHeight="1" x14ac:dyDescent="0.2">
      <c r="A31" s="1"/>
      <c r="B31" s="12"/>
      <c r="C31" s="5"/>
      <c r="D31" s="5"/>
      <c r="E31" s="5"/>
      <c r="F31" s="5"/>
    </row>
  </sheetData>
  <mergeCells count="1">
    <mergeCell ref="B12:F13"/>
  </mergeCells>
  <hyperlinks>
    <hyperlink ref="B24" r:id="rId1" xr:uid="{00000000-0004-0000-0000-000000000000}"/>
    <hyperlink ref="B25" r:id="rId2" xr:uid="{00000000-0004-0000-0000-000001000000}"/>
    <hyperlink ref="B26" r:id="rId3" xr:uid="{00000000-0004-0000-0000-000002000000}"/>
    <hyperlink ref="B27" r:id="rId4" xr:uid="{00000000-0004-0000-0000-000003000000}"/>
    <hyperlink ref="B28" r:id="rId5" xr:uid="{00000000-0004-0000-0000-000004000000}"/>
    <hyperlink ref="B29" r:id="rId6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  <pageSetUpPr fitToPage="1"/>
  </sheetPr>
  <dimension ref="A1:F48"/>
  <sheetViews>
    <sheetView showGridLines="0" zoomScaleNormal="100" workbookViewId="0">
      <pane ySplit="4" topLeftCell="A5" activePane="bottomLeft" state="frozen"/>
      <selection pane="bottomLeft" activeCell="B22" sqref="B22"/>
    </sheetView>
  </sheetViews>
  <sheetFormatPr baseColWidth="10" defaultColWidth="8.6640625" defaultRowHeight="15" x14ac:dyDescent="0.2"/>
  <cols>
    <col min="1" max="1" width="48" customWidth="1"/>
    <col min="2" max="6" width="17" customWidth="1"/>
  </cols>
  <sheetData>
    <row r="1" spans="1:6" ht="15" customHeight="1" x14ac:dyDescent="0.2">
      <c r="A1" s="2" t="s">
        <v>28</v>
      </c>
      <c r="B1" s="1"/>
      <c r="C1" s="1"/>
      <c r="D1" s="1"/>
      <c r="E1" s="1"/>
      <c r="F1" s="1"/>
    </row>
    <row r="2" spans="1:6" ht="15" customHeight="1" x14ac:dyDescent="0.2">
      <c r="A2" s="47" t="s">
        <v>298</v>
      </c>
      <c r="B2" s="5"/>
      <c r="C2" s="5"/>
      <c r="D2" s="5"/>
      <c r="E2" s="5"/>
      <c r="F2" s="5"/>
    </row>
    <row r="3" spans="1:6" s="14" customFormat="1" ht="15" customHeight="1" x14ac:dyDescent="0.2">
      <c r="A3" s="4" t="s">
        <v>329</v>
      </c>
      <c r="B3" s="5"/>
      <c r="C3" s="5"/>
      <c r="D3" s="5"/>
      <c r="E3" s="5"/>
      <c r="F3" s="5"/>
    </row>
    <row r="4" spans="1:6" ht="15" customHeight="1" x14ac:dyDescent="0.2">
      <c r="A4" s="5"/>
      <c r="B4" s="5"/>
      <c r="C4" s="5"/>
      <c r="D4" s="5"/>
      <c r="E4" s="5"/>
      <c r="F4" s="5"/>
    </row>
    <row r="5" spans="1:6" ht="15" customHeight="1" x14ac:dyDescent="0.2">
      <c r="A5" s="6" t="s">
        <v>8</v>
      </c>
      <c r="B5" s="7"/>
      <c r="C5" s="7"/>
      <c r="D5" s="7"/>
      <c r="E5" s="7"/>
      <c r="F5" s="7"/>
    </row>
    <row r="6" spans="1:6" ht="36" customHeight="1" x14ac:dyDescent="0.2">
      <c r="A6" s="5"/>
      <c r="B6" s="48" t="s">
        <v>9</v>
      </c>
      <c r="C6" s="48" t="s">
        <v>10</v>
      </c>
      <c r="D6" s="48" t="s">
        <v>11</v>
      </c>
      <c r="E6" s="48" t="s">
        <v>12</v>
      </c>
      <c r="F6" s="48" t="s">
        <v>13</v>
      </c>
    </row>
    <row r="7" spans="1:6" ht="24" customHeight="1" x14ac:dyDescent="0.2">
      <c r="A7" s="5"/>
      <c r="B7" s="62">
        <f>'ARR Bridge'!B26</f>
        <v>0.73446327683615831</v>
      </c>
      <c r="C7" s="62">
        <f>Segmentation!C21</f>
        <v>0.94414211438474949</v>
      </c>
      <c r="D7" s="63">
        <f>'ARR Bridge'!C43</f>
        <v>0.21872516994790825</v>
      </c>
      <c r="E7" s="64">
        <f>'GTM Capacity'!B53</f>
        <v>0.9107006664798174</v>
      </c>
      <c r="F7" s="65">
        <f>Scenarios!C26</f>
        <v>-0.64267999999992753</v>
      </c>
    </row>
    <row r="8" spans="1:6" ht="15" customHeight="1" x14ac:dyDescent="0.2">
      <c r="A8" s="5"/>
      <c r="B8" s="5"/>
      <c r="C8" s="5"/>
      <c r="D8" s="5"/>
      <c r="E8" s="5"/>
      <c r="F8" s="5"/>
    </row>
    <row r="9" spans="1:6" ht="15" customHeight="1" x14ac:dyDescent="0.2">
      <c r="A9" s="6" t="s">
        <v>299</v>
      </c>
      <c r="B9" s="7"/>
      <c r="C9" s="7"/>
      <c r="D9" s="7"/>
      <c r="E9" s="7"/>
      <c r="F9" s="7"/>
    </row>
    <row r="10" spans="1:6" ht="15" customHeight="1" x14ac:dyDescent="0.2">
      <c r="A10" s="42" t="s">
        <v>300</v>
      </c>
      <c r="B10" s="5"/>
      <c r="C10" s="5"/>
      <c r="D10" s="5"/>
      <c r="E10" s="5"/>
      <c r="F10" s="5"/>
    </row>
    <row r="11" spans="1:6" ht="15" customHeight="1" x14ac:dyDescent="0.2">
      <c r="A11" s="8" t="s">
        <v>301</v>
      </c>
      <c r="B11" s="21">
        <f>Actuals!E7</f>
        <v>539.70000000000005</v>
      </c>
      <c r="C11" s="5"/>
      <c r="D11" s="5"/>
      <c r="E11" s="5"/>
      <c r="F11" s="5"/>
    </row>
    <row r="12" spans="1:6" ht="15" customHeight="1" x14ac:dyDescent="0.2">
      <c r="A12" s="8" t="s">
        <v>302</v>
      </c>
      <c r="B12" s="21">
        <f>'ARR Bridge'!B23</f>
        <v>85.314000000000021</v>
      </c>
      <c r="C12" s="5"/>
      <c r="D12" s="5"/>
      <c r="E12" s="5"/>
      <c r="F12" s="5"/>
    </row>
    <row r="13" spans="1:6" ht="15" customHeight="1" x14ac:dyDescent="0.2">
      <c r="A13" s="8" t="s">
        <v>303</v>
      </c>
      <c r="B13" s="21">
        <f>'ARR Bridge'!B16</f>
        <v>22.653999999999996</v>
      </c>
      <c r="C13" s="5"/>
      <c r="D13" s="5"/>
      <c r="E13" s="5"/>
      <c r="F13" s="5"/>
    </row>
    <row r="14" spans="1:6" ht="15" customHeight="1" x14ac:dyDescent="0.2">
      <c r="A14" s="8" t="s">
        <v>304</v>
      </c>
      <c r="B14" s="21">
        <f>'ARR Bridge'!B15</f>
        <v>62.660000000000025</v>
      </c>
      <c r="C14" s="5"/>
      <c r="D14" s="5"/>
      <c r="E14" s="5"/>
      <c r="F14" s="5"/>
    </row>
    <row r="15" spans="1:6" ht="15" customHeight="1" x14ac:dyDescent="0.2">
      <c r="A15" s="8" t="s">
        <v>305</v>
      </c>
      <c r="B15" s="45">
        <f>-'ARR Bridge'!B14</f>
        <v>48.199999999999989</v>
      </c>
      <c r="C15" s="5"/>
      <c r="D15" s="5"/>
      <c r="E15" s="5"/>
      <c r="F15" s="5"/>
    </row>
    <row r="16" spans="1:6" ht="15" customHeight="1" x14ac:dyDescent="0.2">
      <c r="A16" s="77" t="s">
        <v>306</v>
      </c>
      <c r="B16" s="32">
        <f>'ARR Bridge'!B26</f>
        <v>0.73446327683615831</v>
      </c>
      <c r="C16" s="5"/>
      <c r="D16" s="5"/>
      <c r="E16" s="5"/>
      <c r="F16" s="5"/>
    </row>
    <row r="17" spans="1:6" ht="15" customHeight="1" x14ac:dyDescent="0.2">
      <c r="A17" s="5"/>
      <c r="B17" s="5"/>
      <c r="C17" s="5"/>
      <c r="D17" s="5"/>
      <c r="E17" s="5"/>
      <c r="F17" s="5"/>
    </row>
    <row r="18" spans="1:6" ht="15" customHeight="1" x14ac:dyDescent="0.2">
      <c r="A18" s="42" t="s">
        <v>307</v>
      </c>
      <c r="B18" s="5"/>
      <c r="C18" s="5"/>
      <c r="D18" s="5"/>
      <c r="E18" s="5"/>
      <c r="F18" s="5"/>
    </row>
    <row r="19" spans="1:6" ht="15" customHeight="1" x14ac:dyDescent="0.2">
      <c r="A19" s="8" t="s">
        <v>308</v>
      </c>
      <c r="B19" s="35">
        <f>Actuals!E10</f>
        <v>2671</v>
      </c>
      <c r="C19" s="5"/>
      <c r="D19" s="5"/>
      <c r="E19" s="5"/>
      <c r="F19" s="5"/>
    </row>
    <row r="20" spans="1:6" ht="15" customHeight="1" x14ac:dyDescent="0.2">
      <c r="A20" s="8" t="s">
        <v>309</v>
      </c>
      <c r="B20" s="22">
        <f>Actuals!E11</f>
        <v>0.61</v>
      </c>
      <c r="C20" s="5"/>
      <c r="D20" s="5"/>
      <c r="E20" s="5"/>
      <c r="F20" s="5"/>
    </row>
    <row r="21" spans="1:6" ht="15" customHeight="1" x14ac:dyDescent="0.2">
      <c r="A21" s="77" t="s">
        <v>310</v>
      </c>
      <c r="B21" s="32">
        <f>Segmentation!C21</f>
        <v>0.94414211438474949</v>
      </c>
      <c r="C21" s="5"/>
      <c r="D21" s="5"/>
      <c r="E21" s="5"/>
      <c r="F21" s="5"/>
    </row>
    <row r="22" spans="1:6" ht="15" customHeight="1" x14ac:dyDescent="0.2">
      <c r="A22" s="8" t="s">
        <v>311</v>
      </c>
      <c r="B22" s="21">
        <f>Segmentation!D23</f>
        <v>-9.0180000000000291</v>
      </c>
      <c r="C22" s="5"/>
      <c r="D22" s="5"/>
      <c r="E22" s="5"/>
      <c r="F22" s="5"/>
    </row>
    <row r="23" spans="1:6" ht="15" customHeight="1" x14ac:dyDescent="0.2">
      <c r="A23" s="5"/>
      <c r="B23" s="5"/>
      <c r="C23" s="5"/>
      <c r="D23" s="5"/>
      <c r="E23" s="5"/>
      <c r="F23" s="5"/>
    </row>
    <row r="24" spans="1:6" ht="15" customHeight="1" x14ac:dyDescent="0.2">
      <c r="A24" s="42" t="s">
        <v>312</v>
      </c>
      <c r="B24" s="5"/>
      <c r="C24" s="5"/>
      <c r="D24" s="5"/>
      <c r="E24" s="5"/>
      <c r="F24" s="5"/>
    </row>
    <row r="25" spans="1:6" ht="15" customHeight="1" x14ac:dyDescent="0.2">
      <c r="A25" s="8" t="s">
        <v>313</v>
      </c>
      <c r="B25" s="21">
        <f>'ARR Bridge'!C39</f>
        <v>97.769999999999953</v>
      </c>
      <c r="C25" s="5"/>
      <c r="D25" s="5"/>
      <c r="E25" s="5"/>
      <c r="F25" s="5"/>
    </row>
    <row r="26" spans="1:6" ht="15" customHeight="1" x14ac:dyDescent="0.2">
      <c r="A26" s="77" t="s">
        <v>157</v>
      </c>
      <c r="B26" s="32">
        <f>'ARR Bridge'!C43</f>
        <v>0.21872516994790825</v>
      </c>
      <c r="C26" s="5"/>
      <c r="D26" s="5"/>
      <c r="E26" s="5"/>
      <c r="F26" s="5"/>
    </row>
    <row r="27" spans="1:6" ht="15" customHeight="1" x14ac:dyDescent="0.2">
      <c r="A27" s="8" t="s">
        <v>314</v>
      </c>
      <c r="B27" s="35">
        <f>'GTM Capacity'!B24</f>
        <v>309.00243148102322</v>
      </c>
      <c r="C27" s="5"/>
      <c r="D27" s="5"/>
      <c r="E27" s="5"/>
      <c r="F27" s="5"/>
    </row>
    <row r="28" spans="1:6" ht="15" customHeight="1" x14ac:dyDescent="0.2">
      <c r="A28" s="8" t="s">
        <v>315</v>
      </c>
      <c r="B28" s="35">
        <f>'GTM Capacity'!B55</f>
        <v>281.40872029365198</v>
      </c>
      <c r="C28" s="5"/>
      <c r="D28" s="5"/>
      <c r="E28" s="5"/>
      <c r="F28" s="5"/>
    </row>
    <row r="29" spans="1:6" ht="15" customHeight="1" x14ac:dyDescent="0.2">
      <c r="A29" s="77" t="s">
        <v>241</v>
      </c>
      <c r="B29" s="32">
        <f>'GTM Capacity'!B53</f>
        <v>0.9107006664798174</v>
      </c>
      <c r="C29" s="5"/>
      <c r="D29" s="5"/>
      <c r="E29" s="5"/>
      <c r="F29" s="5"/>
    </row>
    <row r="30" spans="1:6" ht="15" customHeight="1" x14ac:dyDescent="0.2">
      <c r="A30" s="8" t="s">
        <v>316</v>
      </c>
      <c r="B30" s="21">
        <f>'GTM Capacity'!B52</f>
        <v>-8.73079583826825</v>
      </c>
      <c r="C30" s="5"/>
      <c r="D30" s="5"/>
      <c r="E30" s="5"/>
      <c r="F30" s="5"/>
    </row>
    <row r="31" spans="1:6" ht="15" customHeight="1" x14ac:dyDescent="0.2">
      <c r="A31" s="8" t="s">
        <v>317</v>
      </c>
      <c r="B31" s="35">
        <f>'GTM Capacity'!B66</f>
        <v>27.593711187371241</v>
      </c>
      <c r="C31" s="5"/>
      <c r="D31" s="5"/>
      <c r="E31" s="5"/>
      <c r="F31" s="5"/>
    </row>
    <row r="32" spans="1:6" ht="15" customHeight="1" x14ac:dyDescent="0.2">
      <c r="A32" s="8" t="s">
        <v>318</v>
      </c>
      <c r="B32" s="22">
        <f>'GTM Capacity'!B69</f>
        <v>9.8055636508268318E-2</v>
      </c>
      <c r="C32" s="5"/>
      <c r="D32" s="5"/>
      <c r="E32" s="5"/>
      <c r="F32" s="5"/>
    </row>
    <row r="33" spans="1:6" ht="15" customHeight="1" x14ac:dyDescent="0.2">
      <c r="A33" s="8" t="s">
        <v>319</v>
      </c>
      <c r="B33" s="21">
        <f>'GTM Capacity'!B28</f>
        <v>342.19499999999982</v>
      </c>
      <c r="C33" s="5"/>
      <c r="D33" s="5"/>
      <c r="E33" s="5"/>
      <c r="F33" s="5"/>
    </row>
    <row r="34" spans="1:6" ht="15" customHeight="1" x14ac:dyDescent="0.2">
      <c r="A34" s="8" t="s">
        <v>320</v>
      </c>
      <c r="B34" s="46">
        <f>'GTM Capacity'!B79</f>
        <v>72.967926998120376</v>
      </c>
      <c r="C34" s="5"/>
      <c r="D34" s="5"/>
      <c r="E34" s="5"/>
      <c r="F34" s="5"/>
    </row>
    <row r="35" spans="1:6" ht="15" customHeight="1" x14ac:dyDescent="0.2">
      <c r="A35" s="5"/>
      <c r="B35" s="5"/>
      <c r="C35" s="5"/>
      <c r="D35" s="5"/>
      <c r="E35" s="5"/>
      <c r="F35" s="5"/>
    </row>
    <row r="36" spans="1:6" ht="15" customHeight="1" x14ac:dyDescent="0.2">
      <c r="A36" s="42" t="s">
        <v>321</v>
      </c>
      <c r="B36" s="5"/>
      <c r="C36" s="5"/>
      <c r="D36" s="5"/>
      <c r="E36" s="5"/>
      <c r="F36" s="5"/>
    </row>
    <row r="37" spans="1:6" ht="15" customHeight="1" x14ac:dyDescent="0.2">
      <c r="A37" s="77" t="s">
        <v>322</v>
      </c>
      <c r="B37" s="31">
        <f>Scenarios!C19</f>
        <v>580.35732000000007</v>
      </c>
      <c r="C37" s="5"/>
      <c r="D37" s="5"/>
      <c r="E37" s="5"/>
      <c r="F37" s="5"/>
    </row>
    <row r="38" spans="1:6" ht="15" customHeight="1" x14ac:dyDescent="0.2">
      <c r="A38" s="77" t="s">
        <v>323</v>
      </c>
      <c r="B38" s="31">
        <f>Scenarios!C26</f>
        <v>-0.64267999999992753</v>
      </c>
      <c r="C38" s="5"/>
      <c r="D38" s="5"/>
      <c r="E38" s="5"/>
      <c r="F38" s="5"/>
    </row>
    <row r="39" spans="1:6" ht="15" customHeight="1" x14ac:dyDescent="0.2">
      <c r="A39" s="8" t="s">
        <v>324</v>
      </c>
      <c r="B39" s="21">
        <f>Scenarios!B19</f>
        <v>559.45950000000005</v>
      </c>
      <c r="C39" s="5"/>
      <c r="D39" s="5"/>
      <c r="E39" s="5"/>
      <c r="F39" s="5"/>
    </row>
    <row r="40" spans="1:6" ht="15" customHeight="1" x14ac:dyDescent="0.2">
      <c r="A40" s="8" t="s">
        <v>325</v>
      </c>
      <c r="B40" s="21">
        <f>Actuals!C35</f>
        <v>562</v>
      </c>
      <c r="C40" s="5"/>
      <c r="D40" s="5"/>
      <c r="E40" s="5"/>
      <c r="F40" s="5"/>
    </row>
    <row r="41" spans="1:6" ht="15" customHeight="1" x14ac:dyDescent="0.2">
      <c r="A41" s="8" t="s">
        <v>326</v>
      </c>
      <c r="B41" s="21">
        <f>Scenarios!B30</f>
        <v>-2.5404999999999518</v>
      </c>
      <c r="C41" s="5"/>
      <c r="D41" s="5"/>
      <c r="E41" s="5"/>
      <c r="F41" s="5"/>
    </row>
    <row r="42" spans="1:6" ht="15" customHeight="1" x14ac:dyDescent="0.2">
      <c r="A42" s="5"/>
      <c r="B42" s="5"/>
      <c r="C42" s="5"/>
      <c r="D42" s="5"/>
      <c r="E42" s="5"/>
      <c r="F42" s="5"/>
    </row>
    <row r="43" spans="1:6" ht="15" customHeight="1" x14ac:dyDescent="0.2">
      <c r="A43" s="6" t="s">
        <v>327</v>
      </c>
      <c r="B43" s="7"/>
      <c r="C43" s="7"/>
      <c r="D43" s="7"/>
      <c r="E43" s="7"/>
      <c r="F43" s="7"/>
    </row>
    <row r="44" spans="1:6" ht="15" customHeight="1" x14ac:dyDescent="0.2">
      <c r="A44" s="82" t="s">
        <v>339</v>
      </c>
      <c r="B44" s="82"/>
      <c r="C44" s="82"/>
      <c r="D44" s="82"/>
      <c r="E44" s="82"/>
      <c r="F44" s="82"/>
    </row>
    <row r="45" spans="1:6" ht="15" customHeight="1" x14ac:dyDescent="0.2">
      <c r="A45" s="82" t="s">
        <v>340</v>
      </c>
      <c r="B45" s="82"/>
      <c r="C45" s="82"/>
      <c r="D45" s="82"/>
      <c r="E45" s="82"/>
      <c r="F45" s="82"/>
    </row>
    <row r="46" spans="1:6" ht="15" customHeight="1" x14ac:dyDescent="0.2">
      <c r="A46" s="82" t="s">
        <v>341</v>
      </c>
      <c r="B46" s="82"/>
      <c r="C46" s="82"/>
      <c r="D46" s="82"/>
      <c r="E46" s="82"/>
      <c r="F46" s="82"/>
    </row>
    <row r="47" spans="1:6" ht="14" customHeight="1" x14ac:dyDescent="0.2">
      <c r="A47" s="82" t="s">
        <v>342</v>
      </c>
      <c r="B47" s="82"/>
      <c r="C47" s="82"/>
      <c r="D47" s="82"/>
      <c r="E47" s="82"/>
      <c r="F47" s="82"/>
    </row>
    <row r="48" spans="1:6" ht="15" customHeight="1" x14ac:dyDescent="0.2">
      <c r="A48" s="82" t="s">
        <v>343</v>
      </c>
      <c r="B48" s="82"/>
      <c r="C48" s="82"/>
      <c r="D48" s="82"/>
      <c r="E48" s="82"/>
      <c r="F48" s="82"/>
    </row>
  </sheetData>
  <mergeCells count="5">
    <mergeCell ref="A44:F44"/>
    <mergeCell ref="A45:F45"/>
    <mergeCell ref="A46:F46"/>
    <mergeCell ref="A47:F47"/>
    <mergeCell ref="A48:F4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H38"/>
  <sheetViews>
    <sheetView showGridLines="0" zoomScaleNormal="100" workbookViewId="0">
      <pane ySplit="4" topLeftCell="A5" activePane="bottomLeft" state="frozen"/>
      <selection pane="bottomLeft" activeCell="C38" sqref="C38"/>
    </sheetView>
  </sheetViews>
  <sheetFormatPr baseColWidth="10" defaultColWidth="8.6640625" defaultRowHeight="15" x14ac:dyDescent="0.2"/>
  <cols>
    <col min="1" max="1" width="52" customWidth="1"/>
    <col min="2" max="8" width="13" customWidth="1"/>
  </cols>
  <sheetData>
    <row r="1" spans="1:8" ht="15" customHeight="1" x14ac:dyDescent="0.2">
      <c r="A1" s="67" t="s">
        <v>28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47" t="s">
        <v>29</v>
      </c>
      <c r="B2" s="5"/>
      <c r="C2" s="5"/>
      <c r="D2" s="5"/>
      <c r="E2" s="5"/>
      <c r="F2" s="5"/>
      <c r="G2" s="5"/>
      <c r="H2" s="5"/>
    </row>
    <row r="3" spans="1:8" ht="15" customHeight="1" x14ac:dyDescent="0.2">
      <c r="A3" s="4" t="s">
        <v>30</v>
      </c>
      <c r="B3" s="5"/>
      <c r="C3" s="5"/>
      <c r="D3" s="5"/>
      <c r="E3" s="5"/>
      <c r="F3" s="5"/>
      <c r="G3" s="5"/>
      <c r="H3" s="5"/>
    </row>
    <row r="4" spans="1:8" ht="15" customHeight="1" x14ac:dyDescent="0.2">
      <c r="A4" s="5"/>
      <c r="B4" s="5"/>
      <c r="C4" s="5"/>
      <c r="D4" s="5"/>
      <c r="E4" s="5"/>
      <c r="F4" s="5"/>
      <c r="G4" s="5"/>
      <c r="H4" s="5"/>
    </row>
    <row r="5" spans="1:8" ht="15" customHeight="1" x14ac:dyDescent="0.2">
      <c r="A5" s="68" t="s">
        <v>31</v>
      </c>
      <c r="B5" s="69"/>
      <c r="C5" s="69"/>
      <c r="D5" s="69"/>
      <c r="E5" s="69"/>
      <c r="F5" s="69"/>
      <c r="G5" s="69"/>
      <c r="H5" s="69"/>
    </row>
    <row r="6" spans="1:8" ht="15" customHeight="1" x14ac:dyDescent="0.2">
      <c r="A6" s="9" t="s">
        <v>32</v>
      </c>
      <c r="B6" s="15">
        <v>2</v>
      </c>
      <c r="C6" s="5"/>
      <c r="D6" s="5"/>
      <c r="E6" s="5"/>
      <c r="F6" s="5"/>
      <c r="G6" s="5"/>
      <c r="H6" s="5"/>
    </row>
    <row r="7" spans="1:8" ht="15" customHeight="1" x14ac:dyDescent="0.2">
      <c r="A7" s="8" t="s">
        <v>33</v>
      </c>
      <c r="B7" s="16" t="str">
        <f>INDEX($B$11:$B$13,$B$6)</f>
        <v>Base</v>
      </c>
      <c r="C7" s="5"/>
      <c r="D7" s="5"/>
      <c r="E7" s="5"/>
      <c r="F7" s="5"/>
      <c r="G7" s="5"/>
      <c r="H7" s="5"/>
    </row>
    <row r="8" spans="1:8" ht="15" customHeight="1" x14ac:dyDescent="0.2">
      <c r="A8" s="5"/>
      <c r="B8" s="5"/>
      <c r="C8" s="5"/>
      <c r="D8" s="5"/>
      <c r="E8" s="5"/>
      <c r="F8" s="5"/>
      <c r="G8" s="5"/>
      <c r="H8" s="5"/>
    </row>
    <row r="9" spans="1:8" ht="15" customHeight="1" x14ac:dyDescent="0.2">
      <c r="A9" s="9" t="s">
        <v>34</v>
      </c>
      <c r="B9" s="5"/>
      <c r="C9" s="5"/>
      <c r="D9" s="5"/>
      <c r="E9" s="5"/>
      <c r="F9" s="5"/>
      <c r="G9" s="5"/>
      <c r="H9" s="5"/>
    </row>
    <row r="10" spans="1:8" ht="27.75" customHeight="1" x14ac:dyDescent="0.2">
      <c r="A10" s="26" t="s">
        <v>35</v>
      </c>
      <c r="B10" s="26" t="s">
        <v>36</v>
      </c>
      <c r="C10" s="26" t="s">
        <v>37</v>
      </c>
      <c r="D10" s="26" t="s">
        <v>38</v>
      </c>
      <c r="E10" s="26" t="s">
        <v>39</v>
      </c>
      <c r="F10" s="26" t="s">
        <v>40</v>
      </c>
      <c r="G10" s="26" t="s">
        <v>41</v>
      </c>
      <c r="H10" s="5"/>
    </row>
    <row r="11" spans="1:8" ht="15" customHeight="1" x14ac:dyDescent="0.2">
      <c r="A11" s="17">
        <v>1</v>
      </c>
      <c r="B11" s="8" t="s">
        <v>42</v>
      </c>
      <c r="C11" s="51">
        <v>0.88800000000000001</v>
      </c>
      <c r="D11" s="51">
        <v>-0.05</v>
      </c>
      <c r="E11" s="51">
        <v>-1.2E-2</v>
      </c>
      <c r="F11" s="52">
        <v>-5</v>
      </c>
      <c r="G11" s="51">
        <v>0.78</v>
      </c>
      <c r="H11" s="12"/>
    </row>
    <row r="12" spans="1:8" ht="15" customHeight="1" x14ac:dyDescent="0.2">
      <c r="A12" s="17">
        <v>2</v>
      </c>
      <c r="B12" s="8" t="s">
        <v>43</v>
      </c>
      <c r="C12" s="51">
        <v>0.9</v>
      </c>
      <c r="D12" s="51">
        <v>0.08</v>
      </c>
      <c r="E12" s="51">
        <v>0</v>
      </c>
      <c r="F12" s="52">
        <v>0</v>
      </c>
      <c r="G12" s="51">
        <v>0.85</v>
      </c>
      <c r="H12" s="12"/>
    </row>
    <row r="13" spans="1:8" ht="15" customHeight="1" x14ac:dyDescent="0.2">
      <c r="A13" s="17">
        <v>3</v>
      </c>
      <c r="B13" s="8" t="s">
        <v>44</v>
      </c>
      <c r="C13" s="51">
        <v>0.91500000000000004</v>
      </c>
      <c r="D13" s="51">
        <v>0.2</v>
      </c>
      <c r="E13" s="51">
        <v>0.02</v>
      </c>
      <c r="F13" s="52">
        <v>5</v>
      </c>
      <c r="G13" s="51">
        <v>0.92</v>
      </c>
      <c r="H13" s="12"/>
    </row>
    <row r="14" spans="1:8" ht="15" customHeight="1" x14ac:dyDescent="0.2">
      <c r="A14" s="5"/>
      <c r="B14" s="5"/>
      <c r="C14" s="5"/>
      <c r="D14" s="5"/>
      <c r="E14" s="5"/>
      <c r="F14" s="5"/>
      <c r="G14" s="5"/>
      <c r="H14" s="5"/>
    </row>
    <row r="15" spans="1:8" ht="15" customHeight="1" x14ac:dyDescent="0.2">
      <c r="A15" s="68" t="s">
        <v>45</v>
      </c>
      <c r="B15" s="69"/>
      <c r="C15" s="69"/>
      <c r="D15" s="69"/>
      <c r="E15" s="69"/>
      <c r="F15" s="69"/>
      <c r="G15" s="69"/>
      <c r="H15" s="69"/>
    </row>
    <row r="16" spans="1:8" ht="15" customHeight="1" x14ac:dyDescent="0.2">
      <c r="A16" s="8" t="s">
        <v>46</v>
      </c>
      <c r="B16" s="19">
        <f>INDEX($C$11:$C$13,$B$6)</f>
        <v>0.9</v>
      </c>
      <c r="C16" s="5"/>
      <c r="D16" s="5"/>
      <c r="E16" s="5"/>
      <c r="F16" s="5"/>
      <c r="G16" s="5"/>
      <c r="H16" s="5"/>
    </row>
    <row r="17" spans="1:8" ht="15" customHeight="1" x14ac:dyDescent="0.2">
      <c r="A17" s="8" t="s">
        <v>47</v>
      </c>
      <c r="B17" s="19">
        <f>INDEX($D$11:$D$13,$B$6)</f>
        <v>0.08</v>
      </c>
      <c r="C17" s="5"/>
      <c r="D17" s="5"/>
      <c r="E17" s="5"/>
      <c r="F17" s="5"/>
      <c r="G17" s="5"/>
      <c r="H17" s="5"/>
    </row>
    <row r="18" spans="1:8" ht="15" customHeight="1" x14ac:dyDescent="0.2">
      <c r="A18" s="8" t="s">
        <v>48</v>
      </c>
      <c r="B18" s="19">
        <f>INDEX($E$11:$E$13,$B$6)</f>
        <v>0</v>
      </c>
      <c r="C18" s="5"/>
      <c r="D18" s="5"/>
      <c r="E18" s="5"/>
      <c r="F18" s="5"/>
      <c r="G18" s="5"/>
      <c r="H18" s="5"/>
    </row>
    <row r="19" spans="1:8" ht="15" customHeight="1" x14ac:dyDescent="0.2">
      <c r="A19" s="8" t="s">
        <v>49</v>
      </c>
      <c r="B19" s="20">
        <f>INDEX($F$11:$F$13,$B$6)</f>
        <v>0</v>
      </c>
      <c r="C19" s="5"/>
      <c r="D19" s="5"/>
      <c r="E19" s="5"/>
      <c r="F19" s="5"/>
      <c r="G19" s="5"/>
      <c r="H19" s="5"/>
    </row>
    <row r="20" spans="1:8" ht="15" customHeight="1" x14ac:dyDescent="0.2">
      <c r="A20" s="8" t="s">
        <v>50</v>
      </c>
      <c r="B20" s="19">
        <f>INDEX($G$11:$G$13,$B$6)</f>
        <v>0.85</v>
      </c>
      <c r="C20" s="5"/>
      <c r="D20" s="5"/>
      <c r="E20" s="5"/>
      <c r="F20" s="5"/>
      <c r="G20" s="5"/>
      <c r="H20" s="5"/>
    </row>
    <row r="21" spans="1:8" ht="15" customHeight="1" x14ac:dyDescent="0.2">
      <c r="A21" s="5"/>
      <c r="B21" s="5"/>
      <c r="C21" s="5"/>
      <c r="D21" s="5"/>
      <c r="E21" s="5"/>
      <c r="F21" s="5"/>
      <c r="G21" s="5"/>
      <c r="H21" s="5"/>
    </row>
    <row r="22" spans="1:8" ht="15" customHeight="1" x14ac:dyDescent="0.2">
      <c r="A22" s="68" t="s">
        <v>51</v>
      </c>
      <c r="B22" s="69"/>
      <c r="C22" s="69"/>
      <c r="D22" s="69"/>
      <c r="E22" s="69"/>
      <c r="F22" s="69"/>
      <c r="G22" s="69"/>
      <c r="H22" s="69"/>
    </row>
    <row r="23" spans="1:8" ht="15" customHeight="1" x14ac:dyDescent="0.2">
      <c r="A23" s="9" t="s">
        <v>52</v>
      </c>
      <c r="B23" s="53">
        <v>0.9</v>
      </c>
      <c r="C23" s="5"/>
      <c r="D23" s="5"/>
      <c r="E23" s="5"/>
      <c r="F23" s="5"/>
      <c r="G23" s="5"/>
      <c r="H23" s="12"/>
    </row>
    <row r="24" spans="1:8" ht="15" customHeight="1" x14ac:dyDescent="0.2">
      <c r="A24" s="8"/>
      <c r="B24" s="18"/>
      <c r="C24" s="5"/>
      <c r="D24" s="5"/>
      <c r="E24" s="5"/>
      <c r="F24" s="5"/>
      <c r="G24" s="5"/>
      <c r="H24" s="12"/>
    </row>
    <row r="25" spans="1:8" ht="15" customHeight="1" x14ac:dyDescent="0.2">
      <c r="A25" s="68" t="s">
        <v>53</v>
      </c>
      <c r="B25" s="69"/>
      <c r="C25" s="69"/>
      <c r="D25" s="69"/>
      <c r="E25" s="69"/>
      <c r="F25" s="69"/>
      <c r="G25" s="69"/>
      <c r="H25" s="69"/>
    </row>
    <row r="26" spans="1:8" ht="15" customHeight="1" x14ac:dyDescent="0.2">
      <c r="A26" s="8" t="s">
        <v>54</v>
      </c>
      <c r="B26" s="51">
        <v>0.4</v>
      </c>
      <c r="C26" s="5"/>
      <c r="D26" s="5"/>
      <c r="E26" s="5"/>
      <c r="F26" s="5"/>
      <c r="G26" s="5"/>
      <c r="H26" s="12"/>
    </row>
    <row r="27" spans="1:8" ht="15" customHeight="1" x14ac:dyDescent="0.2">
      <c r="A27" s="8" t="s">
        <v>55</v>
      </c>
      <c r="B27" s="54">
        <v>235</v>
      </c>
      <c r="C27" s="5"/>
      <c r="D27" s="5"/>
      <c r="E27" s="5"/>
      <c r="F27" s="5"/>
      <c r="G27" s="5"/>
      <c r="H27" s="12"/>
    </row>
    <row r="28" spans="1:8" ht="15" customHeight="1" x14ac:dyDescent="0.2">
      <c r="A28" s="8" t="s">
        <v>56</v>
      </c>
      <c r="B28" s="51">
        <v>0.85</v>
      </c>
      <c r="C28" s="5"/>
      <c r="D28" s="5"/>
      <c r="E28" s="5"/>
      <c r="F28" s="5"/>
      <c r="G28" s="5"/>
      <c r="H28" s="12"/>
    </row>
    <row r="29" spans="1:8" ht="15" customHeight="1" x14ac:dyDescent="0.2">
      <c r="A29" s="8" t="s">
        <v>57</v>
      </c>
      <c r="B29" s="51">
        <v>1.04</v>
      </c>
      <c r="C29" s="5"/>
      <c r="D29" s="5"/>
      <c r="E29" s="5"/>
      <c r="F29" s="5"/>
      <c r="G29" s="5"/>
      <c r="H29" s="12"/>
    </row>
    <row r="30" spans="1:8" ht="15" customHeight="1" x14ac:dyDescent="0.2">
      <c r="A30" s="8" t="s">
        <v>58</v>
      </c>
      <c r="B30" s="51">
        <v>0</v>
      </c>
      <c r="C30" s="5"/>
      <c r="D30" s="5"/>
      <c r="E30" s="5"/>
      <c r="F30" s="5"/>
      <c r="G30" s="5"/>
      <c r="H30" s="12"/>
    </row>
    <row r="31" spans="1:8" ht="15" customHeight="1" x14ac:dyDescent="0.2">
      <c r="A31" s="8" t="s">
        <v>59</v>
      </c>
      <c r="B31" s="51">
        <v>0.5</v>
      </c>
      <c r="C31" s="5"/>
      <c r="D31" s="5"/>
      <c r="E31" s="5"/>
      <c r="F31" s="5"/>
      <c r="G31" s="5"/>
      <c r="H31" s="5"/>
    </row>
    <row r="32" spans="1:8" ht="15" customHeight="1" x14ac:dyDescent="0.2">
      <c r="A32" s="8" t="s">
        <v>60</v>
      </c>
      <c r="B32" s="51">
        <v>1</v>
      </c>
      <c r="C32" s="5"/>
      <c r="D32" s="5"/>
      <c r="E32" s="5"/>
      <c r="F32" s="5"/>
      <c r="G32" s="5"/>
      <c r="H32" s="5"/>
    </row>
    <row r="33" spans="1:8" ht="15" customHeight="1" x14ac:dyDescent="0.2">
      <c r="A33" s="8" t="s">
        <v>61</v>
      </c>
      <c r="B33" s="51">
        <v>0.18</v>
      </c>
      <c r="C33" s="5"/>
      <c r="D33" s="5"/>
      <c r="E33" s="5"/>
      <c r="F33" s="5"/>
      <c r="G33" s="5"/>
      <c r="H33" s="12"/>
    </row>
    <row r="34" spans="1:8" ht="15" customHeight="1" x14ac:dyDescent="0.2">
      <c r="A34" s="8" t="s">
        <v>62</v>
      </c>
      <c r="B34" s="55">
        <v>3.5</v>
      </c>
      <c r="C34" s="5"/>
      <c r="D34" s="5"/>
      <c r="E34" s="5"/>
      <c r="F34" s="5"/>
      <c r="G34" s="5"/>
      <c r="H34" s="12"/>
    </row>
    <row r="35" spans="1:8" ht="15" customHeight="1" x14ac:dyDescent="0.2">
      <c r="A35" s="8" t="s">
        <v>63</v>
      </c>
      <c r="B35" s="51">
        <v>0.03</v>
      </c>
      <c r="C35" s="5"/>
      <c r="D35" s="5"/>
      <c r="E35" s="5"/>
      <c r="F35" s="5"/>
      <c r="G35" s="5"/>
      <c r="H35" s="5"/>
    </row>
    <row r="36" spans="1:8" ht="15" customHeight="1" x14ac:dyDescent="0.2">
      <c r="A36" s="68" t="s">
        <v>64</v>
      </c>
      <c r="B36" s="69"/>
      <c r="C36" s="69"/>
      <c r="D36" s="69"/>
      <c r="E36" s="69"/>
      <c r="F36" s="69"/>
      <c r="G36" s="69"/>
      <c r="H36" s="69"/>
    </row>
    <row r="37" spans="1:8" ht="15" customHeight="1" x14ac:dyDescent="0.2">
      <c r="A37" s="8" t="s">
        <v>65</v>
      </c>
      <c r="B37" s="56">
        <v>0.87</v>
      </c>
      <c r="C37" s="56">
        <v>0.88500000000000001</v>
      </c>
      <c r="D37" s="56">
        <v>0.9</v>
      </c>
      <c r="E37" s="56">
        <v>0.91500000000000004</v>
      </c>
      <c r="F37" s="56">
        <v>0.93</v>
      </c>
      <c r="G37" s="5"/>
      <c r="H37" s="12"/>
    </row>
    <row r="38" spans="1:8" ht="15" customHeight="1" x14ac:dyDescent="0.2">
      <c r="A38" s="8" t="s">
        <v>66</v>
      </c>
      <c r="B38" s="56">
        <v>-0.2</v>
      </c>
      <c r="C38" s="56">
        <v>-0.1</v>
      </c>
      <c r="D38" s="56">
        <v>0</v>
      </c>
      <c r="E38" s="56">
        <v>0.1</v>
      </c>
      <c r="F38" s="56">
        <v>0.2</v>
      </c>
      <c r="G38" s="5"/>
      <c r="H38" s="5"/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showGridLines="0" zoomScaleNormal="100" workbookViewId="0">
      <pane ySplit="4" topLeftCell="A5" activePane="bottomLeft" state="frozen"/>
      <selection pane="bottomLeft" activeCell="A38" sqref="A38"/>
    </sheetView>
  </sheetViews>
  <sheetFormatPr baseColWidth="10" defaultColWidth="8.6640625" defaultRowHeight="15" x14ac:dyDescent="0.2"/>
  <cols>
    <col min="1" max="1" width="40" customWidth="1"/>
    <col min="2" max="2" width="7" customWidth="1"/>
    <col min="3" max="7" width="11" customWidth="1"/>
    <col min="8" max="8" width="33.83203125" customWidth="1"/>
  </cols>
  <sheetData>
    <row r="1" spans="1:8" ht="15" customHeight="1" x14ac:dyDescent="0.2">
      <c r="A1" s="67" t="s">
        <v>28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47" t="s">
        <v>67</v>
      </c>
      <c r="B2" s="5"/>
      <c r="C2" s="5"/>
      <c r="D2" s="5"/>
      <c r="E2" s="5"/>
      <c r="F2" s="5"/>
      <c r="G2" s="5"/>
      <c r="H2" s="5"/>
    </row>
    <row r="3" spans="1:8" ht="15" customHeight="1" x14ac:dyDescent="0.2">
      <c r="A3" s="4" t="s">
        <v>332</v>
      </c>
      <c r="B3" s="5"/>
      <c r="C3" s="5"/>
      <c r="D3" s="5"/>
      <c r="E3" s="5"/>
      <c r="F3" s="5"/>
      <c r="G3" s="5"/>
      <c r="H3" s="5"/>
    </row>
    <row r="4" spans="1:8" ht="15" customHeight="1" x14ac:dyDescent="0.2">
      <c r="A4" s="5"/>
      <c r="B4" s="5"/>
      <c r="C4" s="5"/>
      <c r="D4" s="5"/>
      <c r="E4" s="5"/>
      <c r="F4" s="5"/>
      <c r="G4" s="5"/>
      <c r="H4" s="5"/>
    </row>
    <row r="5" spans="1:8" ht="15" customHeight="1" x14ac:dyDescent="0.2">
      <c r="A5" s="68" t="s">
        <v>68</v>
      </c>
      <c r="B5" s="69"/>
      <c r="C5" s="69"/>
      <c r="D5" s="69"/>
      <c r="E5" s="69"/>
      <c r="F5" s="69"/>
      <c r="G5" s="69"/>
      <c r="H5" s="69"/>
    </row>
    <row r="6" spans="1:8" ht="15" customHeight="1" x14ac:dyDescent="0.2">
      <c r="A6" s="25" t="s">
        <v>69</v>
      </c>
      <c r="B6" s="26" t="s">
        <v>70</v>
      </c>
      <c r="C6" s="26" t="s">
        <v>71</v>
      </c>
      <c r="D6" s="26" t="s">
        <v>72</v>
      </c>
      <c r="E6" s="26" t="s">
        <v>73</v>
      </c>
      <c r="F6" s="26" t="s">
        <v>74</v>
      </c>
      <c r="G6" s="26" t="s">
        <v>75</v>
      </c>
      <c r="H6" s="25" t="s">
        <v>76</v>
      </c>
    </row>
    <row r="7" spans="1:8" ht="15" customHeight="1" x14ac:dyDescent="0.2">
      <c r="A7" s="9" t="s">
        <v>77</v>
      </c>
      <c r="B7" s="59" t="s">
        <v>78</v>
      </c>
      <c r="C7" s="21">
        <f>D7/(1+D8)</f>
        <v>442.20183486238528</v>
      </c>
      <c r="D7" s="52">
        <v>482</v>
      </c>
      <c r="E7" s="52">
        <v>539.70000000000005</v>
      </c>
      <c r="F7" s="52">
        <v>548</v>
      </c>
      <c r="G7" s="52">
        <v>544.5</v>
      </c>
      <c r="H7" s="60" t="s">
        <v>331</v>
      </c>
    </row>
    <row r="8" spans="1:8" ht="15" customHeight="1" x14ac:dyDescent="0.2">
      <c r="A8" s="8" t="s">
        <v>79</v>
      </c>
      <c r="B8" s="59" t="s">
        <v>80</v>
      </c>
      <c r="C8" s="5"/>
      <c r="D8" s="51">
        <v>0.09</v>
      </c>
      <c r="E8" s="51">
        <v>0.11899999999999999</v>
      </c>
      <c r="F8" s="51">
        <v>0.112</v>
      </c>
      <c r="G8" s="5"/>
      <c r="H8" s="60" t="s">
        <v>81</v>
      </c>
    </row>
    <row r="9" spans="1:8" ht="15" customHeight="1" x14ac:dyDescent="0.2">
      <c r="A9" s="8" t="s">
        <v>82</v>
      </c>
      <c r="B9" s="59" t="s">
        <v>80</v>
      </c>
      <c r="C9" s="5"/>
      <c r="D9" s="51">
        <v>0.1</v>
      </c>
      <c r="E9" s="51">
        <v>7.6999999999999999E-2</v>
      </c>
      <c r="F9" s="51">
        <v>7.9000000000000001E-2</v>
      </c>
      <c r="G9" s="51">
        <v>5.7000000000000002E-2</v>
      </c>
      <c r="H9" s="60" t="s">
        <v>83</v>
      </c>
    </row>
    <row r="10" spans="1:8" ht="15" customHeight="1" x14ac:dyDescent="0.2">
      <c r="A10" s="8" t="s">
        <v>84</v>
      </c>
      <c r="B10" s="59" t="s">
        <v>35</v>
      </c>
      <c r="C10" s="5"/>
      <c r="D10" s="54">
        <v>2349</v>
      </c>
      <c r="E10" s="54">
        <v>2671</v>
      </c>
      <c r="F10" s="5"/>
      <c r="G10" s="54">
        <v>2706</v>
      </c>
      <c r="H10" s="60" t="s">
        <v>85</v>
      </c>
    </row>
    <row r="11" spans="1:8" ht="15" customHeight="1" x14ac:dyDescent="0.2">
      <c r="A11" s="8" t="s">
        <v>86</v>
      </c>
      <c r="B11" s="59" t="s">
        <v>80</v>
      </c>
      <c r="C11" s="5"/>
      <c r="D11" s="51">
        <v>0.56999999999999995</v>
      </c>
      <c r="E11" s="51">
        <v>0.61</v>
      </c>
      <c r="F11" s="5"/>
      <c r="G11" s="51">
        <v>0.63</v>
      </c>
      <c r="H11" s="60" t="s">
        <v>87</v>
      </c>
    </row>
    <row r="12" spans="1:8" ht="15" customHeight="1" x14ac:dyDescent="0.2">
      <c r="A12" s="8" t="s">
        <v>88</v>
      </c>
      <c r="B12" s="59" t="s">
        <v>80</v>
      </c>
      <c r="C12" s="5"/>
      <c r="D12" s="51">
        <v>1.03</v>
      </c>
      <c r="E12" s="51">
        <v>1.03</v>
      </c>
      <c r="F12" s="5"/>
      <c r="G12" s="51">
        <v>1.03</v>
      </c>
      <c r="H12" s="60" t="s">
        <v>87</v>
      </c>
    </row>
    <row r="13" spans="1:8" ht="15" customHeight="1" x14ac:dyDescent="0.2">
      <c r="A13" s="8" t="s">
        <v>89</v>
      </c>
      <c r="B13" s="59" t="s">
        <v>78</v>
      </c>
      <c r="C13" s="5"/>
      <c r="D13" s="52">
        <v>466</v>
      </c>
      <c r="E13" s="52">
        <v>511.43</v>
      </c>
      <c r="F13" s="52">
        <v>133.69999999999999</v>
      </c>
      <c r="G13" s="52">
        <v>138.19999999999999</v>
      </c>
      <c r="H13" s="60" t="s">
        <v>83</v>
      </c>
    </row>
    <row r="14" spans="1:8" ht="15" customHeight="1" x14ac:dyDescent="0.2">
      <c r="A14" s="8" t="s">
        <v>90</v>
      </c>
      <c r="B14" s="59" t="s">
        <v>78</v>
      </c>
      <c r="C14" s="5"/>
      <c r="D14" s="52">
        <v>459</v>
      </c>
      <c r="E14" s="52">
        <v>506.24900000000002</v>
      </c>
      <c r="F14" s="52">
        <v>132.5</v>
      </c>
      <c r="G14" s="52">
        <v>137.1</v>
      </c>
      <c r="H14" s="60" t="s">
        <v>83</v>
      </c>
    </row>
    <row r="15" spans="1:8" ht="15" customHeight="1" x14ac:dyDescent="0.2">
      <c r="A15" s="8" t="s">
        <v>91</v>
      </c>
      <c r="B15" s="59" t="s">
        <v>78</v>
      </c>
      <c r="C15" s="5"/>
      <c r="D15" s="5"/>
      <c r="E15" s="52">
        <v>394.37599999999998</v>
      </c>
      <c r="F15" s="5"/>
      <c r="G15" s="5"/>
      <c r="H15" s="60" t="s">
        <v>92</v>
      </c>
    </row>
    <row r="16" spans="1:8" ht="15" customHeight="1" x14ac:dyDescent="0.2">
      <c r="A16" s="8" t="s">
        <v>93</v>
      </c>
      <c r="B16" s="59" t="s">
        <v>80</v>
      </c>
      <c r="C16" s="5"/>
      <c r="D16" s="5"/>
      <c r="E16" s="22">
        <f>E15/E13</f>
        <v>0.77112410300529877</v>
      </c>
      <c r="F16" s="5"/>
      <c r="G16" s="5"/>
      <c r="H16" s="60"/>
    </row>
    <row r="17" spans="1:8" ht="15" customHeight="1" x14ac:dyDescent="0.2">
      <c r="A17" s="8" t="s">
        <v>94</v>
      </c>
      <c r="B17" s="59" t="s">
        <v>78</v>
      </c>
      <c r="C17" s="5"/>
      <c r="D17" s="5"/>
      <c r="E17" s="52">
        <v>163.16300000000001</v>
      </c>
      <c r="F17" s="5"/>
      <c r="G17" s="5"/>
      <c r="H17" s="60" t="s">
        <v>92</v>
      </c>
    </row>
    <row r="18" spans="1:8" ht="15" customHeight="1" x14ac:dyDescent="0.2">
      <c r="A18" s="8" t="s">
        <v>95</v>
      </c>
      <c r="B18" s="59" t="s">
        <v>78</v>
      </c>
      <c r="C18" s="5"/>
      <c r="D18" s="5"/>
      <c r="E18" s="52">
        <v>100.71299999999999</v>
      </c>
      <c r="F18" s="5"/>
      <c r="G18" s="5"/>
      <c r="H18" s="60" t="s">
        <v>92</v>
      </c>
    </row>
    <row r="19" spans="1:8" ht="15" customHeight="1" x14ac:dyDescent="0.2">
      <c r="A19" s="8" t="s">
        <v>96</v>
      </c>
      <c r="B19" s="59" t="s">
        <v>78</v>
      </c>
      <c r="C19" s="5"/>
      <c r="D19" s="5"/>
      <c r="E19" s="52">
        <v>91.715000000000003</v>
      </c>
      <c r="F19" s="5"/>
      <c r="G19" s="5"/>
      <c r="H19" s="60" t="s">
        <v>92</v>
      </c>
    </row>
    <row r="20" spans="1:8" ht="15" customHeight="1" x14ac:dyDescent="0.2">
      <c r="A20" s="8" t="s">
        <v>97</v>
      </c>
      <c r="B20" s="59" t="s">
        <v>78</v>
      </c>
      <c r="C20" s="5"/>
      <c r="D20" s="5"/>
      <c r="E20" s="52">
        <v>36.789000000000001</v>
      </c>
      <c r="F20" s="5"/>
      <c r="G20" s="5"/>
      <c r="H20" s="60" t="s">
        <v>92</v>
      </c>
    </row>
    <row r="21" spans="1:8" ht="15" customHeight="1" x14ac:dyDescent="0.2">
      <c r="A21" s="8" t="s">
        <v>98</v>
      </c>
      <c r="B21" s="59" t="s">
        <v>78</v>
      </c>
      <c r="C21" s="5"/>
      <c r="D21" s="5"/>
      <c r="E21" s="52">
        <v>153.24</v>
      </c>
      <c r="F21" s="52">
        <v>36.700000000000003</v>
      </c>
      <c r="G21" s="5"/>
      <c r="H21" s="60" t="s">
        <v>99</v>
      </c>
    </row>
    <row r="22" spans="1:8" ht="15" customHeight="1" x14ac:dyDescent="0.2">
      <c r="A22" s="8" t="s">
        <v>100</v>
      </c>
      <c r="B22" s="59" t="s">
        <v>80</v>
      </c>
      <c r="C22" s="5"/>
      <c r="D22" s="5"/>
      <c r="E22" s="22">
        <f>E21/E13</f>
        <v>0.29963044795964261</v>
      </c>
      <c r="F22" s="22">
        <f>F21/F13</f>
        <v>0.27449513836948397</v>
      </c>
      <c r="G22" s="5"/>
      <c r="H22" s="60"/>
    </row>
    <row r="23" spans="1:8" ht="15" customHeight="1" x14ac:dyDescent="0.2">
      <c r="A23" s="8" t="s">
        <v>101</v>
      </c>
      <c r="B23" s="59" t="s">
        <v>80</v>
      </c>
      <c r="C23" s="5"/>
      <c r="D23" s="5"/>
      <c r="E23" s="22">
        <f>E17/E13</f>
        <v>0.31903290772930804</v>
      </c>
      <c r="F23" s="5"/>
      <c r="G23" s="5"/>
      <c r="H23" s="60"/>
    </row>
    <row r="24" spans="1:8" ht="15" customHeight="1" x14ac:dyDescent="0.2">
      <c r="A24" s="8" t="s">
        <v>102</v>
      </c>
      <c r="B24" s="59" t="s">
        <v>35</v>
      </c>
      <c r="C24" s="5"/>
      <c r="D24" s="5"/>
      <c r="E24" s="5"/>
      <c r="F24" s="5"/>
      <c r="G24" s="54">
        <v>2000</v>
      </c>
      <c r="H24" s="60" t="s">
        <v>103</v>
      </c>
    </row>
    <row r="25" spans="1:8" ht="15" customHeight="1" x14ac:dyDescent="0.2">
      <c r="A25" s="5"/>
      <c r="B25" s="5"/>
      <c r="C25" s="5"/>
      <c r="D25" s="5"/>
      <c r="E25" s="5"/>
      <c r="F25" s="5"/>
      <c r="G25" s="5"/>
      <c r="H25" s="5"/>
    </row>
    <row r="26" spans="1:8" ht="15" customHeight="1" x14ac:dyDescent="0.2">
      <c r="A26" s="68" t="s">
        <v>104</v>
      </c>
      <c r="B26" s="69"/>
      <c r="C26" s="69"/>
      <c r="D26" s="69"/>
      <c r="E26" s="69"/>
      <c r="F26" s="69"/>
      <c r="G26" s="69"/>
      <c r="H26" s="69"/>
    </row>
    <row r="27" spans="1:8" ht="15" customHeight="1" x14ac:dyDescent="0.2">
      <c r="A27" s="25" t="s">
        <v>69</v>
      </c>
      <c r="B27" s="24"/>
      <c r="C27" s="26" t="s">
        <v>105</v>
      </c>
      <c r="D27" s="26" t="s">
        <v>106</v>
      </c>
      <c r="E27" s="26" t="s">
        <v>107</v>
      </c>
      <c r="F27" s="24"/>
      <c r="G27" s="24"/>
      <c r="H27" s="25" t="s">
        <v>76</v>
      </c>
    </row>
    <row r="28" spans="1:8" ht="15" customHeight="1" x14ac:dyDescent="0.2">
      <c r="A28" s="9" t="s">
        <v>108</v>
      </c>
      <c r="B28" s="5"/>
      <c r="C28" s="52">
        <v>581</v>
      </c>
      <c r="D28" s="52">
        <v>586</v>
      </c>
      <c r="E28" s="23">
        <f>AVERAGE(C28:D28)</f>
        <v>583.5</v>
      </c>
      <c r="F28" s="5"/>
      <c r="G28" s="5"/>
      <c r="H28" s="60" t="s">
        <v>99</v>
      </c>
    </row>
    <row r="29" spans="1:8" ht="15" customHeight="1" x14ac:dyDescent="0.2">
      <c r="A29" s="8" t="s">
        <v>89</v>
      </c>
      <c r="B29" s="5"/>
      <c r="C29" s="52">
        <v>554</v>
      </c>
      <c r="D29" s="52">
        <v>559</v>
      </c>
      <c r="E29" s="23">
        <f>AVERAGE(C29:D29)</f>
        <v>556.5</v>
      </c>
      <c r="F29" s="5"/>
      <c r="G29" s="5"/>
      <c r="H29" s="60" t="s">
        <v>99</v>
      </c>
    </row>
    <row r="30" spans="1:8" ht="15" customHeight="1" x14ac:dyDescent="0.2">
      <c r="A30" s="8" t="s">
        <v>98</v>
      </c>
      <c r="B30" s="5"/>
      <c r="C30" s="52">
        <v>167</v>
      </c>
      <c r="D30" s="52">
        <v>171</v>
      </c>
      <c r="E30" s="23">
        <f>AVERAGE(C30:D30)</f>
        <v>169</v>
      </c>
      <c r="F30" s="5"/>
      <c r="G30" s="5"/>
      <c r="H30" s="60" t="s">
        <v>99</v>
      </c>
    </row>
    <row r="31" spans="1:8" ht="15" customHeight="1" x14ac:dyDescent="0.2">
      <c r="A31" s="8" t="s">
        <v>109</v>
      </c>
      <c r="B31" s="5"/>
      <c r="C31" s="52">
        <v>114</v>
      </c>
      <c r="D31" s="52">
        <v>118</v>
      </c>
      <c r="E31" s="23">
        <f>AVERAGE(C31:D31)</f>
        <v>116</v>
      </c>
      <c r="F31" s="5"/>
      <c r="G31" s="5"/>
      <c r="H31" s="60" t="s">
        <v>110</v>
      </c>
    </row>
    <row r="32" spans="1:8" ht="15" customHeight="1" x14ac:dyDescent="0.2">
      <c r="A32" s="5"/>
      <c r="B32" s="5"/>
      <c r="C32" s="5"/>
      <c r="D32" s="5"/>
      <c r="E32" s="5"/>
      <c r="F32" s="5"/>
      <c r="G32" s="5"/>
      <c r="H32" s="5"/>
    </row>
    <row r="33" spans="1:8" ht="15" customHeight="1" x14ac:dyDescent="0.2">
      <c r="A33" s="68" t="s">
        <v>111</v>
      </c>
      <c r="B33" s="69"/>
      <c r="C33" s="69"/>
      <c r="D33" s="69"/>
      <c r="E33" s="69"/>
      <c r="F33" s="69"/>
      <c r="G33" s="69"/>
      <c r="H33" s="69"/>
    </row>
    <row r="34" spans="1:8" ht="15" customHeight="1" x14ac:dyDescent="0.2">
      <c r="A34" s="25" t="s">
        <v>69</v>
      </c>
      <c r="B34" s="24"/>
      <c r="C34" s="26" t="s">
        <v>105</v>
      </c>
      <c r="D34" s="26" t="s">
        <v>106</v>
      </c>
      <c r="E34" s="26" t="s">
        <v>107</v>
      </c>
      <c r="F34" s="26" t="s">
        <v>112</v>
      </c>
      <c r="G34" s="24"/>
      <c r="H34" s="25" t="s">
        <v>76</v>
      </c>
    </row>
    <row r="35" spans="1:8" ht="15" customHeight="1" x14ac:dyDescent="0.2">
      <c r="A35" s="9" t="s">
        <v>108</v>
      </c>
      <c r="B35" s="5"/>
      <c r="C35" s="52">
        <v>562</v>
      </c>
      <c r="D35" s="52">
        <v>565</v>
      </c>
      <c r="E35" s="23">
        <f>AVERAGE(C35:D35)</f>
        <v>563.5</v>
      </c>
      <c r="F35" s="21">
        <f>E35-E28</f>
        <v>-20</v>
      </c>
      <c r="G35" s="5"/>
      <c r="H35" s="60" t="s">
        <v>113</v>
      </c>
    </row>
    <row r="36" spans="1:8" ht="15" customHeight="1" x14ac:dyDescent="0.2">
      <c r="A36" s="8" t="s">
        <v>89</v>
      </c>
      <c r="B36" s="5"/>
      <c r="C36" s="52">
        <v>539</v>
      </c>
      <c r="D36" s="52">
        <v>542</v>
      </c>
      <c r="E36" s="23">
        <f>AVERAGE(C36:D36)</f>
        <v>540.5</v>
      </c>
      <c r="F36" s="52">
        <f>E36-E29</f>
        <v>-16</v>
      </c>
      <c r="G36" s="5"/>
      <c r="H36" s="60" t="s">
        <v>113</v>
      </c>
    </row>
    <row r="37" spans="1:8" ht="15" customHeight="1" x14ac:dyDescent="0.2">
      <c r="A37" s="8" t="s">
        <v>98</v>
      </c>
      <c r="B37" s="5"/>
      <c r="C37" s="52">
        <v>158</v>
      </c>
      <c r="D37" s="52">
        <v>161</v>
      </c>
      <c r="E37" s="23">
        <f>AVERAGE(C37:D37)</f>
        <v>159.5</v>
      </c>
      <c r="F37" s="21">
        <f>E37-E30</f>
        <v>-9.5</v>
      </c>
      <c r="G37" s="5"/>
      <c r="H37" s="60" t="s">
        <v>113</v>
      </c>
    </row>
    <row r="38" spans="1:8" ht="15" customHeight="1" x14ac:dyDescent="0.2">
      <c r="A38" s="8" t="s">
        <v>109</v>
      </c>
      <c r="B38" s="5"/>
      <c r="C38" s="52">
        <v>116</v>
      </c>
      <c r="D38" s="52">
        <v>120</v>
      </c>
      <c r="E38" s="23">
        <f>AVERAGE(C38:D38)</f>
        <v>118</v>
      </c>
      <c r="F38" s="21">
        <f>E38-E31</f>
        <v>2</v>
      </c>
      <c r="G38" s="5"/>
      <c r="H38" s="60" t="s">
        <v>113</v>
      </c>
    </row>
    <row r="39" spans="1:8" ht="15" customHeight="1" x14ac:dyDescent="0.2">
      <c r="A39" s="5"/>
      <c r="B39" s="5"/>
      <c r="C39" s="5"/>
      <c r="D39" s="5"/>
      <c r="E39" s="5"/>
      <c r="F39" s="5"/>
      <c r="G39" s="5"/>
      <c r="H39" s="5"/>
    </row>
    <row r="40" spans="1:8" ht="15" customHeight="1" x14ac:dyDescent="0.2">
      <c r="A40" s="9" t="s">
        <v>114</v>
      </c>
      <c r="B40" s="5"/>
      <c r="C40" s="5"/>
      <c r="D40" s="5"/>
      <c r="E40" s="5"/>
      <c r="F40" s="5"/>
      <c r="G40" s="5"/>
      <c r="H40" s="5"/>
    </row>
    <row r="41" spans="1:8" ht="15" customHeight="1" x14ac:dyDescent="0.2">
      <c r="A41" s="84" t="s">
        <v>115</v>
      </c>
      <c r="B41" s="85"/>
      <c r="C41" s="85"/>
      <c r="D41" s="85"/>
      <c r="E41" s="85"/>
      <c r="F41" s="85"/>
      <c r="G41" s="85"/>
      <c r="H41" s="85"/>
    </row>
    <row r="42" spans="1:8" ht="15" customHeight="1" x14ac:dyDescent="0.2">
      <c r="A42" s="84" t="s">
        <v>116</v>
      </c>
      <c r="B42" s="85"/>
      <c r="C42" s="85"/>
      <c r="D42" s="85"/>
      <c r="E42" s="85"/>
      <c r="F42" s="85"/>
      <c r="G42" s="85"/>
      <c r="H42" s="85"/>
    </row>
    <row r="43" spans="1:8" ht="15" customHeight="1" x14ac:dyDescent="0.2">
      <c r="A43" s="84" t="s">
        <v>117</v>
      </c>
      <c r="B43" s="85"/>
      <c r="C43" s="85"/>
      <c r="D43" s="85"/>
      <c r="E43" s="85"/>
      <c r="F43" s="85"/>
      <c r="G43" s="85"/>
      <c r="H43" s="85"/>
    </row>
    <row r="44" spans="1:8" ht="15" customHeight="1" x14ac:dyDescent="0.2">
      <c r="A44" s="84" t="s">
        <v>118</v>
      </c>
      <c r="B44" s="85"/>
      <c r="C44" s="85"/>
      <c r="D44" s="85"/>
      <c r="E44" s="85"/>
      <c r="F44" s="85"/>
      <c r="G44" s="85"/>
      <c r="H44" s="85"/>
    </row>
    <row r="45" spans="1:8" ht="15" customHeight="1" x14ac:dyDescent="0.2">
      <c r="A45" s="84" t="s">
        <v>330</v>
      </c>
      <c r="B45" s="85"/>
      <c r="C45" s="85"/>
      <c r="D45" s="85"/>
      <c r="E45" s="85"/>
      <c r="F45" s="85"/>
      <c r="G45" s="85"/>
      <c r="H45" s="85"/>
    </row>
  </sheetData>
  <mergeCells count="5">
    <mergeCell ref="A41:H41"/>
    <mergeCell ref="A42:H42"/>
    <mergeCell ref="A43:H43"/>
    <mergeCell ref="A44:H44"/>
    <mergeCell ref="A45:H45"/>
  </mergeCells>
  <conditionalFormatting sqref="F35:F38">
    <cfRule type="cellIs" dxfId="1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81"/>
  <sheetViews>
    <sheetView showGridLines="0" tabSelected="1" zoomScaleNormal="100" workbookViewId="0">
      <pane ySplit="4" topLeftCell="A58" activePane="bottomLeft" state="frozen"/>
      <selection pane="bottomLeft" activeCell="E30" sqref="E30"/>
    </sheetView>
  </sheetViews>
  <sheetFormatPr baseColWidth="10" defaultColWidth="8.6640625" defaultRowHeight="15" x14ac:dyDescent="0.2"/>
  <cols>
    <col min="1" max="1" width="48" customWidth="1"/>
    <col min="2" max="4" width="13" customWidth="1"/>
    <col min="5" max="6" width="12" customWidth="1"/>
    <col min="7" max="8" width="13" customWidth="1"/>
  </cols>
  <sheetData>
    <row r="1" spans="1:7" ht="15" customHeight="1" x14ac:dyDescent="0.2">
      <c r="A1" s="67" t="s">
        <v>28</v>
      </c>
      <c r="B1" s="1"/>
      <c r="C1" s="1"/>
      <c r="D1" s="1"/>
      <c r="E1" s="1"/>
      <c r="F1" s="1"/>
      <c r="G1" s="1"/>
    </row>
    <row r="2" spans="1:7" ht="15" customHeight="1" x14ac:dyDescent="0.2">
      <c r="A2" s="47" t="s">
        <v>119</v>
      </c>
      <c r="B2" s="5"/>
      <c r="C2" s="5"/>
      <c r="D2" s="5"/>
      <c r="E2" s="5"/>
      <c r="F2" s="5"/>
      <c r="G2" s="5"/>
    </row>
    <row r="3" spans="1:7" ht="15" customHeight="1" x14ac:dyDescent="0.2">
      <c r="A3" s="4" t="s">
        <v>328</v>
      </c>
      <c r="B3" s="5"/>
      <c r="C3" s="5"/>
      <c r="D3" s="5"/>
      <c r="E3" s="5"/>
      <c r="F3" s="5"/>
      <c r="G3" s="5"/>
    </row>
    <row r="4" spans="1:7" ht="15" customHeight="1" x14ac:dyDescent="0.2">
      <c r="A4" s="5"/>
      <c r="B4" s="5"/>
      <c r="C4" s="5"/>
      <c r="D4" s="5"/>
      <c r="E4" s="5"/>
      <c r="F4" s="5"/>
      <c r="G4" s="5"/>
    </row>
    <row r="5" spans="1:7" ht="15" customHeight="1" x14ac:dyDescent="0.2">
      <c r="A5" s="68" t="s">
        <v>120</v>
      </c>
      <c r="B5" s="69"/>
      <c r="C5" s="69"/>
      <c r="D5" s="69"/>
      <c r="E5" s="69"/>
      <c r="F5" s="69"/>
      <c r="G5" s="69"/>
    </row>
    <row r="6" spans="1:7" ht="15" customHeight="1" x14ac:dyDescent="0.2">
      <c r="A6" s="61" t="s">
        <v>333</v>
      </c>
      <c r="B6" s="5"/>
      <c r="C6" s="5"/>
      <c r="D6" s="5"/>
      <c r="E6" s="5"/>
      <c r="F6" s="5"/>
      <c r="G6" s="5"/>
    </row>
    <row r="7" spans="1:7" ht="15" customHeight="1" x14ac:dyDescent="0.2">
      <c r="A7" s="5"/>
      <c r="B7" s="5"/>
      <c r="C7" s="5"/>
      <c r="D7" s="5"/>
      <c r="E7" s="5"/>
      <c r="F7" s="5"/>
      <c r="G7" s="5"/>
    </row>
    <row r="8" spans="1:7" ht="15" customHeight="1" x14ac:dyDescent="0.2">
      <c r="A8" s="24"/>
      <c r="B8" s="33" t="s">
        <v>73</v>
      </c>
      <c r="C8" s="5"/>
      <c r="D8" s="5"/>
      <c r="E8" s="5"/>
      <c r="F8" s="5"/>
      <c r="G8" s="5"/>
    </row>
    <row r="9" spans="1:7" ht="15" customHeight="1" x14ac:dyDescent="0.2">
      <c r="A9" s="9" t="s">
        <v>121</v>
      </c>
      <c r="B9" s="27">
        <f>Actuals!D7</f>
        <v>482</v>
      </c>
      <c r="C9" s="5"/>
      <c r="D9" s="5"/>
      <c r="E9" s="5"/>
      <c r="F9" s="5"/>
      <c r="G9" s="12"/>
    </row>
    <row r="10" spans="1:7" ht="15" customHeight="1" x14ac:dyDescent="0.2">
      <c r="A10" s="8" t="s">
        <v>122</v>
      </c>
      <c r="B10" s="28">
        <f>Assumptions!$B$23</f>
        <v>0.9</v>
      </c>
      <c r="C10" s="5"/>
      <c r="D10" s="5"/>
      <c r="E10" s="5"/>
      <c r="F10" s="5"/>
      <c r="G10" s="12"/>
    </row>
    <row r="11" spans="1:7" ht="15" customHeight="1" x14ac:dyDescent="0.2">
      <c r="A11" s="8" t="s">
        <v>123</v>
      </c>
      <c r="B11" s="28">
        <f>Actuals!E12</f>
        <v>1.03</v>
      </c>
      <c r="C11" s="5"/>
      <c r="D11" s="5"/>
      <c r="E11" s="5"/>
      <c r="F11" s="5"/>
      <c r="G11" s="12"/>
    </row>
    <row r="12" spans="1:7" ht="15" customHeight="1" x14ac:dyDescent="0.2">
      <c r="A12" s="8" t="s">
        <v>124</v>
      </c>
      <c r="B12" s="28">
        <f>Actuals!E9</f>
        <v>7.6999999999999999E-2</v>
      </c>
      <c r="C12" s="5"/>
      <c r="D12" s="5"/>
      <c r="E12" s="5"/>
      <c r="F12" s="5"/>
      <c r="G12" s="12"/>
    </row>
    <row r="13" spans="1:7" ht="15" customHeight="1" x14ac:dyDescent="0.2">
      <c r="A13" s="5"/>
      <c r="B13" s="5"/>
      <c r="C13" s="5"/>
      <c r="D13" s="5"/>
      <c r="E13" s="5"/>
      <c r="F13" s="5"/>
      <c r="G13" s="5"/>
    </row>
    <row r="14" spans="1:7" ht="15" customHeight="1" x14ac:dyDescent="0.2">
      <c r="A14" s="8" t="s">
        <v>125</v>
      </c>
      <c r="B14" s="21">
        <f>-B9*(1-B10)</f>
        <v>-48.199999999999989</v>
      </c>
      <c r="C14" s="5"/>
      <c r="D14" s="5"/>
      <c r="E14" s="5"/>
      <c r="F14" s="5"/>
      <c r="G14" s="60" t="s">
        <v>126</v>
      </c>
    </row>
    <row r="15" spans="1:7" ht="15" customHeight="1" x14ac:dyDescent="0.2">
      <c r="A15" s="8" t="s">
        <v>127</v>
      </c>
      <c r="B15" s="21">
        <f>B9*B11-(B9+B14)</f>
        <v>62.660000000000025</v>
      </c>
      <c r="C15" s="5"/>
      <c r="D15" s="5"/>
      <c r="E15" s="5"/>
      <c r="F15" s="5"/>
      <c r="G15" s="60" t="s">
        <v>128</v>
      </c>
    </row>
    <row r="16" spans="1:7" ht="15" customHeight="1" x14ac:dyDescent="0.2">
      <c r="A16" s="8" t="s">
        <v>129</v>
      </c>
      <c r="B16" s="21">
        <f>B9*(1+B12)-B9*B11</f>
        <v>22.653999999999996</v>
      </c>
      <c r="C16" s="5"/>
      <c r="D16" s="5"/>
      <c r="E16" s="5"/>
      <c r="F16" s="5"/>
      <c r="G16" s="60" t="s">
        <v>130</v>
      </c>
    </row>
    <row r="17" spans="1:7" ht="15" customHeight="1" x14ac:dyDescent="0.2">
      <c r="A17" s="8" t="s">
        <v>131</v>
      </c>
      <c r="B17" s="21">
        <f>Actuals!E7-B9*(1+B12)</f>
        <v>20.586000000000013</v>
      </c>
      <c r="C17" s="5"/>
      <c r="D17" s="5"/>
      <c r="E17" s="5"/>
      <c r="F17" s="5"/>
      <c r="G17" s="60" t="s">
        <v>132</v>
      </c>
    </row>
    <row r="18" spans="1:7" ht="15" customHeight="1" x14ac:dyDescent="0.2">
      <c r="A18" s="9" t="s">
        <v>133</v>
      </c>
      <c r="B18" s="29">
        <f>B9+SUM(B14:B17)</f>
        <v>539.70000000000005</v>
      </c>
      <c r="C18" s="5"/>
      <c r="D18" s="5"/>
      <c r="E18" s="5"/>
      <c r="F18" s="5"/>
      <c r="G18" s="12"/>
    </row>
    <row r="19" spans="1:7" ht="15" customHeight="1" x14ac:dyDescent="0.2">
      <c r="A19" s="8" t="s">
        <v>134</v>
      </c>
      <c r="B19" s="27">
        <f>Actuals!E7</f>
        <v>539.70000000000005</v>
      </c>
      <c r="C19" s="5"/>
      <c r="D19" s="5"/>
      <c r="E19" s="5"/>
      <c r="F19" s="5"/>
      <c r="G19" s="12"/>
    </row>
    <row r="20" spans="1:7" ht="15" customHeight="1" x14ac:dyDescent="0.2">
      <c r="A20" s="8" t="s">
        <v>135</v>
      </c>
      <c r="B20" s="30">
        <f>B18-B19</f>
        <v>0</v>
      </c>
      <c r="C20" s="5"/>
      <c r="D20" s="5"/>
      <c r="E20" s="5"/>
      <c r="F20" s="5"/>
      <c r="G20" s="12"/>
    </row>
    <row r="21" spans="1:7" ht="15" customHeight="1" x14ac:dyDescent="0.2">
      <c r="A21" s="5"/>
      <c r="B21" s="5"/>
      <c r="C21" s="5"/>
      <c r="D21" s="5"/>
      <c r="E21" s="5"/>
      <c r="F21" s="5"/>
      <c r="G21" s="5"/>
    </row>
    <row r="22" spans="1:7" ht="15" customHeight="1" x14ac:dyDescent="0.2">
      <c r="A22" s="9" t="s">
        <v>136</v>
      </c>
      <c r="B22" s="5"/>
      <c r="C22" s="5"/>
      <c r="D22" s="5"/>
      <c r="E22" s="5"/>
      <c r="F22" s="5"/>
      <c r="G22" s="5"/>
    </row>
    <row r="23" spans="1:7" ht="15" customHeight="1" x14ac:dyDescent="0.2">
      <c r="A23" s="77" t="s">
        <v>137</v>
      </c>
      <c r="B23" s="78">
        <f>B15+B16</f>
        <v>85.314000000000021</v>
      </c>
      <c r="C23" s="5"/>
      <c r="D23" s="5"/>
      <c r="E23" s="5"/>
      <c r="F23" s="5"/>
      <c r="G23" s="12"/>
    </row>
    <row r="24" spans="1:7" ht="15" customHeight="1" x14ac:dyDescent="0.2">
      <c r="A24" s="8" t="s">
        <v>138</v>
      </c>
      <c r="B24" s="21">
        <f>B14+B15+B16</f>
        <v>37.114000000000033</v>
      </c>
      <c r="C24" s="5"/>
      <c r="D24" s="5"/>
      <c r="E24" s="5"/>
      <c r="F24" s="5"/>
      <c r="G24" s="12"/>
    </row>
    <row r="25" spans="1:7" ht="15" customHeight="1" x14ac:dyDescent="0.2">
      <c r="A25" s="8" t="s">
        <v>139</v>
      </c>
      <c r="B25" s="22">
        <f>B16/B23</f>
        <v>0.26553672316384169</v>
      </c>
      <c r="C25" s="5"/>
      <c r="D25" s="5"/>
      <c r="E25" s="5"/>
      <c r="F25" s="5"/>
      <c r="G25" s="12"/>
    </row>
    <row r="26" spans="1:7" ht="15" customHeight="1" x14ac:dyDescent="0.2">
      <c r="A26" s="77" t="s">
        <v>140</v>
      </c>
      <c r="B26" s="79">
        <f>B15/B23</f>
        <v>0.73446327683615831</v>
      </c>
      <c r="C26" s="5"/>
      <c r="D26" s="5"/>
      <c r="E26" s="5"/>
      <c r="F26" s="5"/>
      <c r="G26" s="12"/>
    </row>
    <row r="27" spans="1:7" ht="15" customHeight="1" x14ac:dyDescent="0.2">
      <c r="A27" s="8" t="s">
        <v>141</v>
      </c>
      <c r="B27" s="22">
        <f>-B14/B9</f>
        <v>9.9999999999999978E-2</v>
      </c>
      <c r="C27" s="5"/>
      <c r="D27" s="5"/>
      <c r="E27" s="5"/>
      <c r="F27" s="5"/>
      <c r="G27" s="12"/>
    </row>
    <row r="28" spans="1:7" ht="15" customHeight="1" x14ac:dyDescent="0.2">
      <c r="A28" s="8" t="s">
        <v>142</v>
      </c>
      <c r="B28" s="22">
        <f>B15/B9</f>
        <v>0.13000000000000006</v>
      </c>
      <c r="C28" s="5"/>
      <c r="D28" s="5"/>
      <c r="E28" s="5"/>
      <c r="F28" s="5"/>
      <c r="G28" s="60"/>
    </row>
    <row r="29" spans="1:7" ht="15" customHeight="1" x14ac:dyDescent="0.2">
      <c r="A29" s="8" t="s">
        <v>143</v>
      </c>
      <c r="B29" s="22">
        <f>B16/B9</f>
        <v>4.6999999999999993E-2</v>
      </c>
      <c r="C29" s="5"/>
      <c r="D29" s="5"/>
      <c r="E29" s="5"/>
      <c r="F29" s="5"/>
      <c r="G29" s="12"/>
    </row>
    <row r="30" spans="1:7" ht="15" customHeight="1" x14ac:dyDescent="0.2">
      <c r="A30" s="5"/>
      <c r="B30" s="5"/>
      <c r="C30" s="5"/>
      <c r="D30" s="5"/>
      <c r="E30" s="5"/>
      <c r="F30" s="5"/>
      <c r="G30" s="5"/>
    </row>
    <row r="31" spans="1:7" ht="15" customHeight="1" x14ac:dyDescent="0.2">
      <c r="A31" s="68" t="s">
        <v>144</v>
      </c>
      <c r="B31" s="69"/>
      <c r="C31" s="69"/>
      <c r="D31" s="69"/>
      <c r="E31" s="69"/>
      <c r="F31" s="69"/>
      <c r="G31" s="69"/>
    </row>
    <row r="32" spans="1:7" ht="15" customHeight="1" x14ac:dyDescent="0.2">
      <c r="A32" s="24"/>
      <c r="B32" s="26" t="s">
        <v>145</v>
      </c>
      <c r="C32" s="26" t="s">
        <v>146</v>
      </c>
      <c r="D32" s="26" t="s">
        <v>147</v>
      </c>
      <c r="E32" s="5"/>
      <c r="F32" s="5"/>
      <c r="G32" s="5"/>
    </row>
    <row r="33" spans="1:7" ht="15" customHeight="1" x14ac:dyDescent="0.2">
      <c r="A33" s="8" t="s">
        <v>148</v>
      </c>
      <c r="B33" s="27">
        <f>Actuals!C28</f>
        <v>581</v>
      </c>
      <c r="C33" s="27">
        <f>Actuals!E28</f>
        <v>583.5</v>
      </c>
      <c r="D33" s="27">
        <f>Actuals!D28</f>
        <v>586</v>
      </c>
      <c r="E33" s="5"/>
      <c r="F33" s="5"/>
      <c r="G33" s="12"/>
    </row>
    <row r="34" spans="1:7" ht="15" customHeight="1" x14ac:dyDescent="0.2">
      <c r="A34" s="8" t="s">
        <v>149</v>
      </c>
      <c r="B34" s="21">
        <f>$B$18</f>
        <v>539.70000000000005</v>
      </c>
      <c r="C34" s="21">
        <f>$B$18</f>
        <v>539.70000000000005</v>
      </c>
      <c r="D34" s="21">
        <f>$B$18</f>
        <v>539.70000000000005</v>
      </c>
      <c r="E34" s="5"/>
      <c r="F34" s="5"/>
      <c r="G34" s="12"/>
    </row>
    <row r="35" spans="1:7" ht="15" customHeight="1" x14ac:dyDescent="0.2">
      <c r="A35" s="8" t="s">
        <v>150</v>
      </c>
      <c r="B35" s="27">
        <f>Assumptions!$B$19</f>
        <v>0</v>
      </c>
      <c r="C35" s="27">
        <f>Assumptions!$B$19</f>
        <v>0</v>
      </c>
      <c r="D35" s="27">
        <f>Assumptions!$B$19</f>
        <v>0</v>
      </c>
      <c r="E35" s="5"/>
      <c r="F35" s="5"/>
      <c r="G35" s="12"/>
    </row>
    <row r="36" spans="1:7" ht="15" customHeight="1" x14ac:dyDescent="0.2">
      <c r="A36" s="8" t="s">
        <v>151</v>
      </c>
      <c r="B36" s="21">
        <f>B33-B35</f>
        <v>581</v>
      </c>
      <c r="C36" s="21">
        <f>C33-C35</f>
        <v>583.5</v>
      </c>
      <c r="D36" s="21">
        <f>D33-D35</f>
        <v>586</v>
      </c>
      <c r="E36" s="5"/>
      <c r="F36" s="5"/>
      <c r="G36" s="5"/>
    </row>
    <row r="37" spans="1:7" ht="15" customHeight="1" x14ac:dyDescent="0.2">
      <c r="A37" s="8" t="s">
        <v>152</v>
      </c>
      <c r="B37" s="28">
        <f>Assumptions!$B$16</f>
        <v>0.9</v>
      </c>
      <c r="C37" s="28">
        <f>Assumptions!$B$16</f>
        <v>0.9</v>
      </c>
      <c r="D37" s="28">
        <f>Assumptions!$B$16</f>
        <v>0.9</v>
      </c>
      <c r="E37" s="5"/>
      <c r="F37" s="5"/>
      <c r="G37" s="12"/>
    </row>
    <row r="38" spans="1:7" ht="15" customHeight="1" x14ac:dyDescent="0.2">
      <c r="A38" s="8" t="s">
        <v>125</v>
      </c>
      <c r="B38" s="21">
        <f>-B34*(1-B37)</f>
        <v>-53.969999999999992</v>
      </c>
      <c r="C38" s="21">
        <f>-C34*(1-C37)</f>
        <v>-53.969999999999992</v>
      </c>
      <c r="D38" s="21">
        <f>-D34*(1-D37)</f>
        <v>-53.969999999999992</v>
      </c>
      <c r="E38" s="5"/>
      <c r="F38" s="5"/>
      <c r="G38" s="12"/>
    </row>
    <row r="39" spans="1:7" ht="15" customHeight="1" x14ac:dyDescent="0.2">
      <c r="A39" s="77" t="s">
        <v>153</v>
      </c>
      <c r="B39" s="31">
        <f>B36-B34-B38</f>
        <v>95.269999999999953</v>
      </c>
      <c r="C39" s="31">
        <f>C36-C34-C38</f>
        <v>97.769999999999953</v>
      </c>
      <c r="D39" s="31">
        <f>D36-D34-D38</f>
        <v>100.26999999999995</v>
      </c>
      <c r="E39" s="5"/>
      <c r="F39" s="5"/>
      <c r="G39" s="12"/>
    </row>
    <row r="40" spans="1:7" ht="15" customHeight="1" x14ac:dyDescent="0.2">
      <c r="A40" s="5"/>
      <c r="B40" s="5"/>
      <c r="C40" s="5"/>
      <c r="D40" s="5"/>
      <c r="E40" s="5"/>
      <c r="F40" s="5"/>
      <c r="G40" s="5"/>
    </row>
    <row r="41" spans="1:7" ht="15" customHeight="1" x14ac:dyDescent="0.2">
      <c r="A41" s="8" t="s">
        <v>154</v>
      </c>
      <c r="B41" s="21">
        <f>B34*($B$28+Assumptions!$B$18)</f>
        <v>70.161000000000044</v>
      </c>
      <c r="C41" s="21">
        <f>C34*($B$28+Assumptions!$B$18)</f>
        <v>70.161000000000044</v>
      </c>
      <c r="D41" s="21">
        <f>D34*($B$28+Assumptions!$B$18)</f>
        <v>70.161000000000044</v>
      </c>
      <c r="E41" s="5"/>
      <c r="F41" s="5"/>
      <c r="G41" s="60" t="s">
        <v>155</v>
      </c>
    </row>
    <row r="42" spans="1:7" ht="15" customHeight="1" x14ac:dyDescent="0.2">
      <c r="A42" s="8" t="s">
        <v>156</v>
      </c>
      <c r="B42" s="21">
        <f>B39-B41</f>
        <v>25.108999999999909</v>
      </c>
      <c r="C42" s="21">
        <f>C39-C41</f>
        <v>27.608999999999909</v>
      </c>
      <c r="D42" s="21">
        <f>D39-D41</f>
        <v>30.108999999999909</v>
      </c>
      <c r="E42" s="5"/>
      <c r="F42" s="5"/>
      <c r="G42" s="5"/>
    </row>
    <row r="43" spans="1:7" ht="15" customHeight="1" x14ac:dyDescent="0.2">
      <c r="A43" s="77" t="s">
        <v>157</v>
      </c>
      <c r="B43" s="32">
        <f>B42/$B$16-1</f>
        <v>0.10836938289043485</v>
      </c>
      <c r="C43" s="32">
        <f>C42/$B$16-1</f>
        <v>0.21872516994790825</v>
      </c>
      <c r="D43" s="32">
        <f>D42/$B$16-1</f>
        <v>0.32908095700538165</v>
      </c>
      <c r="E43" s="5"/>
      <c r="F43" s="5"/>
      <c r="G43" s="12"/>
    </row>
    <row r="44" spans="1:7" ht="15" customHeight="1" x14ac:dyDescent="0.2">
      <c r="A44" s="8" t="s">
        <v>158</v>
      </c>
      <c r="B44" s="22">
        <f>(B34+B41+B38)/B34</f>
        <v>1.03</v>
      </c>
      <c r="C44" s="22">
        <f>(C34+C41+C38)/C34</f>
        <v>1.03</v>
      </c>
      <c r="D44" s="22">
        <f>(D34+D41+D38)/D34</f>
        <v>1.03</v>
      </c>
      <c r="E44" s="5"/>
      <c r="F44" s="5"/>
      <c r="G44" s="60" t="s">
        <v>159</v>
      </c>
    </row>
    <row r="45" spans="1:7" ht="15" customHeight="1" x14ac:dyDescent="0.2">
      <c r="A45" s="8" t="s">
        <v>160</v>
      </c>
      <c r="B45" s="22">
        <f>B39/$B$23-1</f>
        <v>0.1166983144618694</v>
      </c>
      <c r="C45" s="22">
        <f>C39/$B$23-1</f>
        <v>0.14600182853927768</v>
      </c>
      <c r="D45" s="22">
        <f>D39/$B$23-1</f>
        <v>0.17530534261668573</v>
      </c>
      <c r="E45" s="5"/>
      <c r="F45" s="5"/>
      <c r="G45" s="5"/>
    </row>
    <row r="46" spans="1:7" ht="15" customHeight="1" x14ac:dyDescent="0.2">
      <c r="A46" s="5"/>
      <c r="B46" s="5"/>
      <c r="C46" s="5"/>
      <c r="D46" s="5"/>
      <c r="E46" s="5"/>
      <c r="F46" s="5"/>
      <c r="G46" s="5"/>
    </row>
    <row r="47" spans="1:7" ht="15" customHeight="1" x14ac:dyDescent="0.2">
      <c r="A47" s="68" t="s">
        <v>161</v>
      </c>
      <c r="B47" s="69"/>
      <c r="C47" s="69"/>
      <c r="D47" s="69"/>
      <c r="E47" s="69"/>
      <c r="F47" s="69"/>
      <c r="G47" s="69"/>
    </row>
    <row r="48" spans="1:7" ht="15" customHeight="1" x14ac:dyDescent="0.2">
      <c r="A48" s="8" t="s">
        <v>162</v>
      </c>
      <c r="B48" s="27">
        <f>Actuals!E35</f>
        <v>563.5</v>
      </c>
      <c r="C48" s="5"/>
      <c r="D48" s="5"/>
      <c r="E48" s="5"/>
      <c r="F48" s="5"/>
      <c r="G48" s="12"/>
    </row>
    <row r="49" spans="1:7" ht="15" customHeight="1" x14ac:dyDescent="0.2">
      <c r="A49" s="8" t="s">
        <v>163</v>
      </c>
      <c r="B49" s="21">
        <f>(B48-Assumptions!$B$19)-$B$18-(-$B$18*(1-Assumptions!$B$16))</f>
        <v>77.769999999999953</v>
      </c>
      <c r="C49" s="5"/>
      <c r="D49" s="5"/>
      <c r="E49" s="5"/>
      <c r="F49" s="5"/>
      <c r="G49" s="5"/>
    </row>
    <row r="50" spans="1:7" ht="15" customHeight="1" x14ac:dyDescent="0.2">
      <c r="A50" s="8" t="s">
        <v>164</v>
      </c>
      <c r="B50" s="21">
        <f>B49-$B$18*($B$28+Assumptions!$B$18)</f>
        <v>7.6089999999999094</v>
      </c>
      <c r="C50" s="5"/>
      <c r="D50" s="5"/>
      <c r="E50" s="5"/>
      <c r="F50" s="5"/>
      <c r="G50" s="5"/>
    </row>
    <row r="51" spans="1:7" ht="15" customHeight="1" x14ac:dyDescent="0.2">
      <c r="A51" s="77" t="s">
        <v>157</v>
      </c>
      <c r="B51" s="32">
        <f>B50/$B$16-1</f>
        <v>-0.66412112651187827</v>
      </c>
      <c r="C51" s="5"/>
      <c r="D51" s="5"/>
      <c r="E51" s="5"/>
      <c r="F51" s="5"/>
      <c r="G51" s="60" t="s">
        <v>165</v>
      </c>
    </row>
    <row r="52" spans="1:7" ht="15" customHeight="1" x14ac:dyDescent="0.2">
      <c r="A52" s="8" t="s">
        <v>166</v>
      </c>
      <c r="B52" s="21">
        <f>B49-C39</f>
        <v>-20</v>
      </c>
      <c r="C52" s="5"/>
      <c r="D52" s="5"/>
      <c r="E52" s="5"/>
      <c r="F52" s="5"/>
      <c r="G52" s="12"/>
    </row>
    <row r="53" spans="1:7" ht="15" customHeight="1" x14ac:dyDescent="0.2">
      <c r="A53" s="5"/>
      <c r="B53" s="5"/>
      <c r="C53" s="5"/>
      <c r="D53" s="5"/>
      <c r="E53" s="5"/>
      <c r="F53" s="5"/>
      <c r="G53" s="5"/>
    </row>
    <row r="54" spans="1:7" ht="15" customHeight="1" x14ac:dyDescent="0.2">
      <c r="A54" s="68" t="s">
        <v>167</v>
      </c>
      <c r="B54" s="69"/>
      <c r="C54" s="69"/>
      <c r="D54" s="69"/>
      <c r="E54" s="69"/>
      <c r="F54" s="69"/>
      <c r="G54" s="69"/>
    </row>
    <row r="55" spans="1:7" ht="15" customHeight="1" x14ac:dyDescent="0.2">
      <c r="A55" s="5"/>
      <c r="B55" s="5"/>
      <c r="C55" s="5"/>
      <c r="D55" s="5"/>
      <c r="E55" s="5"/>
      <c r="F55" s="5"/>
      <c r="G55" s="5"/>
    </row>
    <row r="56" spans="1:7" ht="15" customHeight="1" x14ac:dyDescent="0.2">
      <c r="A56" s="5"/>
      <c r="B56" s="5"/>
      <c r="C56" s="5"/>
      <c r="D56" s="5"/>
      <c r="E56" s="5"/>
      <c r="F56" s="5"/>
      <c r="G56" s="5"/>
    </row>
    <row r="57" spans="1:7" ht="15" customHeight="1" x14ac:dyDescent="0.2">
      <c r="A57" s="5"/>
      <c r="B57" s="5"/>
      <c r="C57" s="5"/>
      <c r="D57" s="5"/>
      <c r="E57" s="5"/>
      <c r="F57" s="5"/>
      <c r="G57" s="5"/>
    </row>
    <row r="58" spans="1:7" ht="15" customHeight="1" x14ac:dyDescent="0.2">
      <c r="A58" s="5"/>
      <c r="B58" s="5"/>
      <c r="C58" s="5"/>
      <c r="D58" s="5"/>
      <c r="E58" s="5"/>
      <c r="F58" s="5"/>
      <c r="G58" s="5"/>
    </row>
    <row r="59" spans="1:7" ht="15" customHeight="1" x14ac:dyDescent="0.2">
      <c r="A59" s="5"/>
      <c r="B59" s="5"/>
      <c r="C59" s="5"/>
      <c r="D59" s="5"/>
      <c r="E59" s="5"/>
      <c r="F59" s="5"/>
      <c r="G59" s="5"/>
    </row>
    <row r="60" spans="1:7" ht="15" customHeight="1" x14ac:dyDescent="0.2">
      <c r="A60" s="5"/>
      <c r="B60" s="5"/>
      <c r="C60" s="5"/>
      <c r="D60" s="5"/>
      <c r="E60" s="5"/>
      <c r="F60" s="5"/>
      <c r="G60" s="5"/>
    </row>
    <row r="61" spans="1:7" ht="15" customHeight="1" x14ac:dyDescent="0.2">
      <c r="A61" s="5"/>
      <c r="B61" s="5"/>
      <c r="C61" s="5"/>
      <c r="D61" s="5"/>
      <c r="E61" s="5"/>
      <c r="F61" s="5"/>
      <c r="G61" s="5"/>
    </row>
    <row r="62" spans="1:7" ht="15" customHeight="1" x14ac:dyDescent="0.2">
      <c r="A62" s="5"/>
      <c r="B62" s="5"/>
      <c r="C62" s="5"/>
      <c r="D62" s="5"/>
      <c r="E62" s="5"/>
      <c r="F62" s="5"/>
      <c r="G62" s="5"/>
    </row>
    <row r="63" spans="1:7" ht="15" customHeight="1" x14ac:dyDescent="0.2">
      <c r="A63" s="5"/>
      <c r="B63" s="5"/>
      <c r="C63" s="5"/>
      <c r="D63" s="5"/>
      <c r="E63" s="5"/>
      <c r="F63" s="5"/>
      <c r="G63" s="5"/>
    </row>
    <row r="64" spans="1:7" ht="15" customHeight="1" x14ac:dyDescent="0.2">
      <c r="A64" s="5"/>
      <c r="B64" s="5"/>
      <c r="C64" s="5"/>
      <c r="D64" s="5"/>
      <c r="E64" s="5"/>
      <c r="F64" s="5"/>
      <c r="G64" s="5"/>
    </row>
    <row r="65" spans="1:7" ht="15" customHeight="1" x14ac:dyDescent="0.2">
      <c r="A65" s="5"/>
      <c r="B65" s="5"/>
      <c r="C65" s="5"/>
      <c r="D65" s="5"/>
      <c r="E65" s="5"/>
      <c r="F65" s="5"/>
      <c r="G65" s="5"/>
    </row>
    <row r="66" spans="1:7" ht="15" customHeight="1" x14ac:dyDescent="0.2">
      <c r="A66" s="5"/>
      <c r="B66" s="5"/>
      <c r="C66" s="5"/>
      <c r="D66" s="5"/>
      <c r="E66" s="5"/>
      <c r="F66" s="5"/>
      <c r="G66" s="5"/>
    </row>
    <row r="67" spans="1:7" ht="15" customHeight="1" x14ac:dyDescent="0.2">
      <c r="A67" s="5"/>
      <c r="B67" s="5"/>
      <c r="C67" s="5"/>
      <c r="D67" s="5"/>
      <c r="E67" s="5"/>
      <c r="F67" s="5"/>
      <c r="G67" s="5"/>
    </row>
    <row r="68" spans="1:7" ht="15" customHeight="1" x14ac:dyDescent="0.2">
      <c r="A68" s="5"/>
      <c r="B68" s="5"/>
      <c r="C68" s="5"/>
      <c r="D68" s="5"/>
      <c r="E68" s="5"/>
      <c r="F68" s="5"/>
      <c r="G68" s="5"/>
    </row>
    <row r="69" spans="1:7" ht="15" customHeight="1" x14ac:dyDescent="0.2">
      <c r="A69" s="5"/>
      <c r="B69" s="5"/>
      <c r="C69" s="5"/>
      <c r="D69" s="5"/>
      <c r="E69" s="5"/>
      <c r="F69" s="5"/>
      <c r="G69" s="5"/>
    </row>
    <row r="70" spans="1:7" ht="15" customHeight="1" x14ac:dyDescent="0.2">
      <c r="A70" s="5"/>
      <c r="B70" s="5"/>
      <c r="C70" s="5"/>
      <c r="D70" s="5"/>
      <c r="E70" s="5"/>
      <c r="F70" s="5"/>
      <c r="G70" s="5"/>
    </row>
    <row r="71" spans="1:7" ht="15" customHeight="1" x14ac:dyDescent="0.2">
      <c r="A71" s="5"/>
      <c r="B71" s="5"/>
      <c r="C71" s="5"/>
      <c r="D71" s="5"/>
      <c r="E71" s="5"/>
      <c r="F71" s="5"/>
      <c r="G71" s="5"/>
    </row>
    <row r="72" spans="1:7" ht="15" customHeight="1" x14ac:dyDescent="0.2">
      <c r="A72" s="5"/>
      <c r="B72" s="5"/>
      <c r="C72" s="5"/>
      <c r="D72" s="5"/>
      <c r="E72" s="5"/>
      <c r="F72" s="5"/>
      <c r="G72" s="5"/>
    </row>
    <row r="73" spans="1:7" ht="15" customHeight="1" x14ac:dyDescent="0.2">
      <c r="A73" s="5"/>
      <c r="B73" s="5"/>
      <c r="C73" s="5"/>
      <c r="D73" s="5"/>
      <c r="E73" s="5"/>
      <c r="F73" s="5"/>
      <c r="G73" s="5"/>
    </row>
    <row r="74" spans="1:7" ht="15" customHeight="1" x14ac:dyDescent="0.2">
      <c r="A74" s="12" t="s">
        <v>168</v>
      </c>
      <c r="B74" s="5"/>
      <c r="C74" s="5"/>
      <c r="D74" s="5"/>
      <c r="E74" s="5"/>
      <c r="F74" s="5"/>
      <c r="G74" s="5"/>
    </row>
    <row r="75" spans="1:7" ht="15" customHeight="1" x14ac:dyDescent="0.2">
      <c r="A75" s="47" t="s">
        <v>169</v>
      </c>
      <c r="B75" s="47" t="s">
        <v>170</v>
      </c>
      <c r="C75" s="47" t="s">
        <v>171</v>
      </c>
      <c r="D75" s="47" t="s">
        <v>172</v>
      </c>
      <c r="E75" s="47" t="s">
        <v>173</v>
      </c>
      <c r="F75" s="5"/>
      <c r="G75" s="5"/>
    </row>
    <row r="76" spans="1:7" ht="15" customHeight="1" x14ac:dyDescent="0.2">
      <c r="A76" s="5" t="s">
        <v>174</v>
      </c>
      <c r="B76" s="21">
        <f>0</f>
        <v>0</v>
      </c>
      <c r="C76" s="21">
        <f>B9</f>
        <v>482</v>
      </c>
      <c r="D76" s="21">
        <f>0</f>
        <v>0</v>
      </c>
      <c r="E76" s="21">
        <f>0</f>
        <v>0</v>
      </c>
      <c r="F76" s="5"/>
      <c r="G76" s="5"/>
    </row>
    <row r="77" spans="1:7" ht="15" customHeight="1" x14ac:dyDescent="0.2">
      <c r="A77" s="5" t="s">
        <v>175</v>
      </c>
      <c r="B77" s="21">
        <f>B9+B14</f>
        <v>433.8</v>
      </c>
      <c r="C77" s="21">
        <f>0</f>
        <v>0</v>
      </c>
      <c r="D77" s="21">
        <f>-B14</f>
        <v>48.199999999999989</v>
      </c>
      <c r="E77" s="21">
        <f>0</f>
        <v>0</v>
      </c>
      <c r="F77" s="5"/>
      <c r="G77" s="5"/>
    </row>
    <row r="78" spans="1:7" ht="15" customHeight="1" x14ac:dyDescent="0.2">
      <c r="A78" s="5" t="s">
        <v>176</v>
      </c>
      <c r="B78" s="21">
        <f>B9+B14</f>
        <v>433.8</v>
      </c>
      <c r="C78" s="21">
        <f>0</f>
        <v>0</v>
      </c>
      <c r="D78" s="21">
        <f>0</f>
        <v>0</v>
      </c>
      <c r="E78" s="21">
        <f>B15</f>
        <v>62.660000000000025</v>
      </c>
      <c r="F78" s="5"/>
      <c r="G78" s="5"/>
    </row>
    <row r="79" spans="1:7" ht="15" customHeight="1" x14ac:dyDescent="0.2">
      <c r="A79" s="5" t="s">
        <v>177</v>
      </c>
      <c r="B79" s="21">
        <f>B9+B14+B15</f>
        <v>496.46000000000004</v>
      </c>
      <c r="C79" s="21">
        <f>0</f>
        <v>0</v>
      </c>
      <c r="D79" s="21">
        <f>0</f>
        <v>0</v>
      </c>
      <c r="E79" s="21">
        <f>B16</f>
        <v>22.653999999999996</v>
      </c>
      <c r="F79" s="5"/>
      <c r="G79" s="5"/>
    </row>
    <row r="80" spans="1:7" ht="15" customHeight="1" x14ac:dyDescent="0.2">
      <c r="A80" s="5" t="s">
        <v>178</v>
      </c>
      <c r="B80" s="21">
        <f>B9+B14+B15+B16</f>
        <v>519.11400000000003</v>
      </c>
      <c r="C80" s="21">
        <f>0</f>
        <v>0</v>
      </c>
      <c r="D80" s="21">
        <f>0</f>
        <v>0</v>
      </c>
      <c r="E80" s="21">
        <f>B17</f>
        <v>20.586000000000013</v>
      </c>
      <c r="F80" s="5"/>
      <c r="G80" s="5"/>
    </row>
    <row r="81" spans="1:7" ht="15" customHeight="1" x14ac:dyDescent="0.2">
      <c r="A81" s="5" t="s">
        <v>179</v>
      </c>
      <c r="B81" s="21">
        <f>0</f>
        <v>0</v>
      </c>
      <c r="C81" s="21">
        <f>B18</f>
        <v>539.70000000000005</v>
      </c>
      <c r="D81" s="21">
        <f>0</f>
        <v>0</v>
      </c>
      <c r="E81" s="21">
        <f>0</f>
        <v>0</v>
      </c>
      <c r="F81" s="5"/>
      <c r="G81" s="5"/>
    </row>
  </sheetData>
  <conditionalFormatting sqref="B20">
    <cfRule type="expression" dxfId="9" priority="2">
      <formula>ABS($B$20)&lt;0.005</formula>
    </cfRule>
    <cfRule type="expression" dxfId="8" priority="3">
      <formula>ABS($B$20)&gt;=0.005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7"/>
  <sheetViews>
    <sheetView showGridLines="0" zoomScaleNormal="100" workbookViewId="0">
      <pane ySplit="4" topLeftCell="A5" activePane="bottomLeft" state="frozen"/>
      <selection pane="bottomLeft" activeCell="D38" sqref="D38"/>
    </sheetView>
  </sheetViews>
  <sheetFormatPr baseColWidth="10" defaultColWidth="8.6640625" defaultRowHeight="15" x14ac:dyDescent="0.2"/>
  <cols>
    <col min="1" max="1" width="46" customWidth="1"/>
    <col min="2" max="6" width="13" customWidth="1"/>
  </cols>
  <sheetData>
    <row r="1" spans="1:6" ht="15" customHeight="1" x14ac:dyDescent="0.2">
      <c r="A1" s="2" t="s">
        <v>28</v>
      </c>
      <c r="B1" s="1"/>
      <c r="C1" s="1"/>
      <c r="D1" s="1"/>
      <c r="E1" s="1"/>
      <c r="F1" s="1"/>
    </row>
    <row r="2" spans="1:6" ht="15" customHeight="1" x14ac:dyDescent="0.2">
      <c r="A2" s="47" t="s">
        <v>180</v>
      </c>
      <c r="B2" s="5"/>
      <c r="C2" s="5"/>
      <c r="D2" s="5"/>
      <c r="E2" s="5"/>
      <c r="F2" s="5"/>
    </row>
    <row r="3" spans="1:6" s="14" customFormat="1" ht="15" customHeight="1" x14ac:dyDescent="0.2">
      <c r="A3" s="4" t="s">
        <v>328</v>
      </c>
      <c r="B3" s="5"/>
      <c r="C3" s="5"/>
      <c r="D3" s="5"/>
      <c r="E3" s="5"/>
      <c r="F3" s="5"/>
    </row>
    <row r="4" spans="1:6" ht="15" customHeight="1" x14ac:dyDescent="0.2">
      <c r="A4" s="5"/>
      <c r="B4" s="5"/>
      <c r="C4" s="5"/>
      <c r="D4" s="5"/>
      <c r="E4" s="5"/>
      <c r="F4" s="5"/>
    </row>
    <row r="5" spans="1:6" ht="15" customHeight="1" x14ac:dyDescent="0.2">
      <c r="A5" s="6" t="s">
        <v>181</v>
      </c>
      <c r="B5" s="7"/>
      <c r="C5" s="7"/>
      <c r="D5" s="7"/>
      <c r="E5" s="7"/>
      <c r="F5" s="7"/>
    </row>
    <row r="6" spans="1:6" ht="15" customHeight="1" x14ac:dyDescent="0.2">
      <c r="A6" s="25" t="s">
        <v>69</v>
      </c>
      <c r="B6" s="26" t="s">
        <v>72</v>
      </c>
      <c r="C6" s="26" t="s">
        <v>73</v>
      </c>
      <c r="D6" s="26" t="s">
        <v>75</v>
      </c>
      <c r="E6" s="5"/>
      <c r="F6" s="5"/>
    </row>
    <row r="7" spans="1:6" ht="15" customHeight="1" x14ac:dyDescent="0.2">
      <c r="A7" s="8" t="s">
        <v>182</v>
      </c>
      <c r="B7" s="27">
        <f>Actuals!D7</f>
        <v>482</v>
      </c>
      <c r="C7" s="27">
        <f>Actuals!E7</f>
        <v>539.70000000000005</v>
      </c>
      <c r="D7" s="27">
        <f>Actuals!G7</f>
        <v>544.5</v>
      </c>
      <c r="E7" s="5"/>
      <c r="F7" s="12"/>
    </row>
    <row r="8" spans="1:6" ht="15" customHeight="1" x14ac:dyDescent="0.2">
      <c r="A8" s="8" t="s">
        <v>84</v>
      </c>
      <c r="B8" s="34">
        <f>Actuals!D10</f>
        <v>2349</v>
      </c>
      <c r="C8" s="34">
        <f>Actuals!E10</f>
        <v>2671</v>
      </c>
      <c r="D8" s="34">
        <f>Actuals!G10</f>
        <v>2706</v>
      </c>
      <c r="E8" s="5"/>
      <c r="F8" s="12"/>
    </row>
    <row r="9" spans="1:6" ht="15" customHeight="1" x14ac:dyDescent="0.2">
      <c r="A9" s="8" t="s">
        <v>86</v>
      </c>
      <c r="B9" s="28">
        <f>Actuals!D11</f>
        <v>0.56999999999999995</v>
      </c>
      <c r="C9" s="28">
        <f>Actuals!E11</f>
        <v>0.61</v>
      </c>
      <c r="D9" s="28">
        <f>Actuals!G11</f>
        <v>0.63</v>
      </c>
      <c r="E9" s="5"/>
      <c r="F9" s="12"/>
    </row>
    <row r="10" spans="1:6" ht="15" customHeight="1" x14ac:dyDescent="0.2">
      <c r="A10" s="5"/>
      <c r="B10" s="5"/>
      <c r="C10" s="5"/>
      <c r="D10" s="5"/>
      <c r="E10" s="5"/>
      <c r="F10" s="5"/>
    </row>
    <row r="11" spans="1:6" ht="15" customHeight="1" x14ac:dyDescent="0.2">
      <c r="A11" s="9" t="s">
        <v>183</v>
      </c>
      <c r="B11" s="23">
        <f>B7*B9</f>
        <v>274.73999999999995</v>
      </c>
      <c r="C11" s="23">
        <f>C7*C9</f>
        <v>329.21700000000004</v>
      </c>
      <c r="D11" s="23">
        <f>D7*D9</f>
        <v>343.03500000000003</v>
      </c>
      <c r="E11" s="5"/>
      <c r="F11" s="12"/>
    </row>
    <row r="12" spans="1:6" ht="15" customHeight="1" x14ac:dyDescent="0.2">
      <c r="A12" s="9" t="s">
        <v>184</v>
      </c>
      <c r="B12" s="23">
        <f>B7-B11</f>
        <v>207.26000000000005</v>
      </c>
      <c r="C12" s="23">
        <f>C7-C11</f>
        <v>210.483</v>
      </c>
      <c r="D12" s="23">
        <f>D7-D11</f>
        <v>201.46499999999997</v>
      </c>
      <c r="E12" s="5"/>
      <c r="F12" s="12"/>
    </row>
    <row r="13" spans="1:6" ht="15" customHeight="1" x14ac:dyDescent="0.2">
      <c r="A13" s="8" t="s">
        <v>185</v>
      </c>
      <c r="B13" s="35">
        <f>B11/B8*1000</f>
        <v>116.96040868454661</v>
      </c>
      <c r="C13" s="35">
        <f>C11/C8*1000</f>
        <v>123.25608386372147</v>
      </c>
      <c r="D13" s="35">
        <f>D11/D8*1000</f>
        <v>126.76829268292683</v>
      </c>
      <c r="E13" s="5"/>
      <c r="F13" s="12"/>
    </row>
    <row r="14" spans="1:6" ht="15" customHeight="1" x14ac:dyDescent="0.2">
      <c r="A14" s="5"/>
      <c r="B14" s="5"/>
      <c r="C14" s="5"/>
      <c r="D14" s="5"/>
      <c r="E14" s="5"/>
      <c r="F14" s="5"/>
    </row>
    <row r="15" spans="1:6" ht="15" customHeight="1" x14ac:dyDescent="0.2">
      <c r="A15" s="8" t="s">
        <v>186</v>
      </c>
      <c r="B15" s="5"/>
      <c r="C15" s="22">
        <f>C7/B7-1</f>
        <v>0.11970954356846475</v>
      </c>
      <c r="D15" s="5"/>
      <c r="E15" s="5"/>
      <c r="F15" s="5"/>
    </row>
    <row r="16" spans="1:6" ht="15" customHeight="1" x14ac:dyDescent="0.2">
      <c r="A16" s="8" t="s">
        <v>187</v>
      </c>
      <c r="B16" s="5"/>
      <c r="C16" s="22">
        <f>C11/B11-1</f>
        <v>0.198285651889059</v>
      </c>
      <c r="D16" s="5"/>
      <c r="E16" s="5"/>
      <c r="F16" s="12"/>
    </row>
    <row r="17" spans="1:6" ht="15" customHeight="1" x14ac:dyDescent="0.2">
      <c r="A17" s="8" t="s">
        <v>188</v>
      </c>
      <c r="B17" s="5"/>
      <c r="C17" s="22">
        <f>C12/B12-1</f>
        <v>1.555051625977022E-2</v>
      </c>
      <c r="D17" s="5"/>
      <c r="E17" s="5"/>
      <c r="F17" s="12"/>
    </row>
    <row r="18" spans="1:6" ht="15" customHeight="1" x14ac:dyDescent="0.2">
      <c r="A18" s="8" t="s">
        <v>189</v>
      </c>
      <c r="B18" s="5"/>
      <c r="C18" s="22">
        <f>C8/B8-1</f>
        <v>0.13707960834397626</v>
      </c>
      <c r="D18" s="5"/>
      <c r="E18" s="5"/>
      <c r="F18" s="5"/>
    </row>
    <row r="19" spans="1:6" ht="15" customHeight="1" x14ac:dyDescent="0.2">
      <c r="A19" s="8" t="s">
        <v>190</v>
      </c>
      <c r="B19" s="5"/>
      <c r="C19" s="22">
        <f>C13/B13-1</f>
        <v>5.3827404076151053E-2</v>
      </c>
      <c r="D19" s="5"/>
      <c r="E19" s="5"/>
      <c r="F19" s="5"/>
    </row>
    <row r="20" spans="1:6" ht="15" customHeight="1" x14ac:dyDescent="0.2">
      <c r="A20" s="5"/>
      <c r="B20" s="5"/>
      <c r="C20" s="5"/>
      <c r="D20" s="5"/>
      <c r="E20" s="5"/>
      <c r="F20" s="5"/>
    </row>
    <row r="21" spans="1:6" ht="15" customHeight="1" x14ac:dyDescent="0.2">
      <c r="A21" s="9" t="s">
        <v>191</v>
      </c>
      <c r="B21" s="5"/>
      <c r="C21" s="32">
        <f>(C11-B11)/(C7-B7)</f>
        <v>0.94414211438474949</v>
      </c>
      <c r="D21" s="5"/>
      <c r="E21" s="5"/>
      <c r="F21" s="12"/>
    </row>
    <row r="22" spans="1:6" ht="15" customHeight="1" x14ac:dyDescent="0.2">
      <c r="A22" s="9" t="s">
        <v>192</v>
      </c>
      <c r="B22" s="5"/>
      <c r="C22" s="31">
        <f>C12-B12</f>
        <v>3.2229999999999563</v>
      </c>
      <c r="D22" s="5"/>
      <c r="E22" s="5"/>
      <c r="F22" s="12"/>
    </row>
    <row r="23" spans="1:6" ht="15" customHeight="1" x14ac:dyDescent="0.2">
      <c r="A23" s="9" t="s">
        <v>193</v>
      </c>
      <c r="B23" s="5"/>
      <c r="C23" s="5"/>
      <c r="D23" s="31">
        <f>D12-C12</f>
        <v>-9.0180000000000291</v>
      </c>
      <c r="E23" s="5"/>
      <c r="F23" s="12"/>
    </row>
    <row r="24" spans="1:6" ht="15" customHeight="1" x14ac:dyDescent="0.2">
      <c r="A24" s="5"/>
      <c r="B24" s="5"/>
      <c r="C24" s="5"/>
      <c r="D24" s="5"/>
      <c r="E24" s="5"/>
      <c r="F24" s="5"/>
    </row>
    <row r="25" spans="1:6" ht="15" customHeight="1" x14ac:dyDescent="0.2">
      <c r="A25" s="6" t="s">
        <v>194</v>
      </c>
      <c r="B25" s="7"/>
      <c r="C25" s="7"/>
      <c r="D25" s="7"/>
      <c r="E25" s="7"/>
      <c r="F25" s="7"/>
    </row>
    <row r="26" spans="1:6" ht="15" customHeight="1" x14ac:dyDescent="0.2">
      <c r="A26" s="82" t="s">
        <v>195</v>
      </c>
      <c r="B26" s="82"/>
      <c r="C26" s="82"/>
      <c r="D26" s="82"/>
      <c r="E26" s="82"/>
      <c r="F26" s="82"/>
    </row>
    <row r="27" spans="1:6" ht="15" customHeight="1" x14ac:dyDescent="0.2">
      <c r="A27" s="82" t="s">
        <v>196</v>
      </c>
      <c r="B27" s="82"/>
      <c r="C27" s="82"/>
      <c r="D27" s="82"/>
      <c r="E27" s="82"/>
      <c r="F27" s="82"/>
    </row>
    <row r="28" spans="1:6" ht="15" customHeight="1" x14ac:dyDescent="0.2">
      <c r="A28" s="82" t="s">
        <v>197</v>
      </c>
      <c r="B28" s="82"/>
      <c r="C28" s="82"/>
      <c r="D28" s="82"/>
      <c r="E28" s="82"/>
      <c r="F28" s="82"/>
    </row>
    <row r="29" spans="1:6" ht="15" customHeight="1" x14ac:dyDescent="0.2">
      <c r="A29" s="5"/>
      <c r="B29" s="5"/>
      <c r="C29" s="5"/>
      <c r="D29" s="5"/>
      <c r="E29" s="5"/>
      <c r="F29" s="5"/>
    </row>
    <row r="30" spans="1:6" ht="15" customHeight="1" x14ac:dyDescent="0.2">
      <c r="A30" s="6" t="s">
        <v>198</v>
      </c>
      <c r="B30" s="7"/>
      <c r="C30" s="7"/>
      <c r="D30" s="7"/>
      <c r="E30" s="7"/>
      <c r="F30" s="7"/>
    </row>
    <row r="31" spans="1:6" x14ac:dyDescent="0.2">
      <c r="A31" s="5"/>
      <c r="B31" s="5"/>
      <c r="C31" s="5"/>
      <c r="D31" s="5"/>
      <c r="E31" s="5"/>
      <c r="F31" s="5"/>
    </row>
    <row r="32" spans="1:6" x14ac:dyDescent="0.2">
      <c r="A32" s="5"/>
      <c r="B32" s="5"/>
      <c r="C32" s="5"/>
      <c r="D32" s="5"/>
      <c r="E32" s="5"/>
      <c r="F32" s="5"/>
    </row>
    <row r="33" spans="1:6" x14ac:dyDescent="0.2">
      <c r="A33" s="5"/>
      <c r="B33" s="5"/>
      <c r="C33" s="5"/>
      <c r="D33" s="5"/>
      <c r="E33" s="5"/>
      <c r="F33" s="5"/>
    </row>
    <row r="34" spans="1:6" x14ac:dyDescent="0.2">
      <c r="A34" s="5"/>
      <c r="B34" s="5"/>
      <c r="C34" s="5"/>
      <c r="D34" s="5"/>
      <c r="E34" s="5"/>
      <c r="F34" s="5"/>
    </row>
    <row r="35" spans="1:6" x14ac:dyDescent="0.2">
      <c r="A35" s="5"/>
      <c r="B35" s="5"/>
      <c r="C35" s="5"/>
      <c r="D35" s="5"/>
      <c r="E35" s="5"/>
      <c r="F35" s="5"/>
    </row>
    <row r="36" spans="1:6" x14ac:dyDescent="0.2">
      <c r="A36" s="5"/>
      <c r="B36" s="5"/>
      <c r="C36" s="5"/>
      <c r="D36" s="5"/>
      <c r="E36" s="5"/>
      <c r="F36" s="5"/>
    </row>
    <row r="37" spans="1:6" x14ac:dyDescent="0.2">
      <c r="A37" s="5"/>
      <c r="B37" s="5"/>
      <c r="C37" s="5"/>
      <c r="D37" s="5"/>
      <c r="E37" s="5"/>
      <c r="F37" s="5"/>
    </row>
    <row r="38" spans="1:6" x14ac:dyDescent="0.2">
      <c r="A38" s="5"/>
      <c r="B38" s="5"/>
      <c r="C38" s="5"/>
      <c r="D38" s="5"/>
      <c r="E38" s="5"/>
      <c r="F38" s="5"/>
    </row>
    <row r="39" spans="1:6" x14ac:dyDescent="0.2">
      <c r="A39" s="5"/>
      <c r="B39" s="5"/>
      <c r="C39" s="5"/>
      <c r="D39" s="5"/>
      <c r="E39" s="5"/>
      <c r="F39" s="5"/>
    </row>
    <row r="40" spans="1:6" x14ac:dyDescent="0.2">
      <c r="A40" s="5"/>
      <c r="B40" s="5"/>
      <c r="C40" s="5"/>
      <c r="D40" s="5"/>
      <c r="E40" s="5"/>
      <c r="F40" s="5"/>
    </row>
    <row r="41" spans="1:6" x14ac:dyDescent="0.2">
      <c r="A41" s="5"/>
      <c r="B41" s="5"/>
      <c r="C41" s="5"/>
      <c r="D41" s="5"/>
      <c r="E41" s="5"/>
      <c r="F41" s="5"/>
    </row>
    <row r="42" spans="1:6" x14ac:dyDescent="0.2">
      <c r="A42" s="5"/>
      <c r="B42" s="5"/>
      <c r="C42" s="5"/>
      <c r="D42" s="5"/>
      <c r="E42" s="5"/>
      <c r="F42" s="5"/>
    </row>
    <row r="43" spans="1:6" x14ac:dyDescent="0.2">
      <c r="A43" s="5"/>
      <c r="B43" s="5"/>
      <c r="C43" s="5"/>
      <c r="D43" s="5"/>
      <c r="E43" s="5"/>
      <c r="F43" s="5"/>
    </row>
    <row r="44" spans="1:6" x14ac:dyDescent="0.2">
      <c r="A44" s="5"/>
      <c r="B44" s="5"/>
      <c r="C44" s="5"/>
      <c r="D44" s="5"/>
      <c r="E44" s="5"/>
      <c r="F44" s="5"/>
    </row>
    <row r="45" spans="1:6" x14ac:dyDescent="0.2">
      <c r="A45" s="5"/>
      <c r="B45" s="5"/>
      <c r="C45" s="5"/>
      <c r="D45" s="5"/>
      <c r="E45" s="5"/>
      <c r="F45" s="5"/>
    </row>
    <row r="46" spans="1:6" x14ac:dyDescent="0.2">
      <c r="A46" s="5"/>
      <c r="B46" s="5"/>
      <c r="C46" s="5"/>
      <c r="D46" s="5"/>
      <c r="E46" s="5"/>
      <c r="F46" s="5"/>
    </row>
    <row r="47" spans="1:6" x14ac:dyDescent="0.2">
      <c r="A47" s="5"/>
      <c r="B47" s="5"/>
      <c r="C47" s="5"/>
      <c r="D47" s="5"/>
      <c r="E47" s="5"/>
      <c r="F47" s="5"/>
    </row>
  </sheetData>
  <mergeCells count="3">
    <mergeCell ref="A26:F26"/>
    <mergeCell ref="A27:F27"/>
    <mergeCell ref="A28:F2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49"/>
  <sheetViews>
    <sheetView showGridLines="0" zoomScaleNormal="100" workbookViewId="0">
      <pane ySplit="4" topLeftCell="A81" activePane="bottomLeft" state="frozen"/>
      <selection pane="bottomLeft" activeCell="C106" sqref="C106"/>
    </sheetView>
  </sheetViews>
  <sheetFormatPr baseColWidth="10" defaultColWidth="8.6640625" defaultRowHeight="15" x14ac:dyDescent="0.2"/>
  <cols>
    <col min="1" max="1" width="50" customWidth="1"/>
    <col min="2" max="2" width="12" customWidth="1"/>
    <col min="3" max="3" width="11" customWidth="1"/>
    <col min="4" max="5" width="12" customWidth="1"/>
    <col min="6" max="6" width="13" customWidth="1"/>
    <col min="7" max="7" width="12" customWidth="1"/>
    <col min="8" max="8" width="13" customWidth="1"/>
    <col min="9" max="13" width="12" customWidth="1"/>
  </cols>
  <sheetData>
    <row r="1" spans="1:13" ht="15" customHeight="1" x14ac:dyDescent="0.2">
      <c r="A1" s="2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">
      <c r="A2" s="47" t="s">
        <v>199</v>
      </c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1"/>
    </row>
    <row r="3" spans="1:13" ht="15" customHeight="1" x14ac:dyDescent="0.2">
      <c r="A3" s="4" t="s">
        <v>334</v>
      </c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</row>
    <row r="4" spans="1:13" ht="1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</row>
    <row r="5" spans="1:13" ht="15" customHeight="1" x14ac:dyDescent="0.2">
      <c r="A5" s="6" t="s">
        <v>200</v>
      </c>
      <c r="B5" s="7"/>
      <c r="C5" s="7"/>
      <c r="D5" s="7"/>
      <c r="E5" s="7"/>
      <c r="F5" s="7"/>
      <c r="G5" s="7"/>
      <c r="H5" s="7"/>
      <c r="I5" s="7"/>
      <c r="J5" s="7"/>
      <c r="K5" s="7"/>
      <c r="L5" s="1"/>
      <c r="M5" s="1"/>
    </row>
    <row r="6" spans="1:13" ht="15" customHeight="1" x14ac:dyDescent="0.2">
      <c r="A6" s="8" t="s">
        <v>201</v>
      </c>
      <c r="B6" s="27">
        <f>Actuals!E17</f>
        <v>163.16300000000001</v>
      </c>
      <c r="C6" s="5"/>
      <c r="D6" s="5"/>
      <c r="E6" s="5"/>
      <c r="F6" s="5"/>
      <c r="G6" s="5"/>
      <c r="H6" s="5"/>
      <c r="I6" s="5"/>
      <c r="J6" s="5"/>
      <c r="K6" s="12"/>
      <c r="L6" s="1"/>
      <c r="M6" s="1"/>
    </row>
    <row r="7" spans="1:13" ht="15" customHeight="1" x14ac:dyDescent="0.2">
      <c r="A7" s="8" t="s">
        <v>202</v>
      </c>
      <c r="B7" s="28">
        <f>Assumptions!$B$26</f>
        <v>0.4</v>
      </c>
      <c r="C7" s="5"/>
      <c r="D7" s="5"/>
      <c r="E7" s="5"/>
      <c r="F7" s="5"/>
      <c r="G7" s="5"/>
      <c r="H7" s="5"/>
      <c r="I7" s="5"/>
      <c r="J7" s="5"/>
      <c r="K7" s="12"/>
      <c r="L7" s="1"/>
      <c r="M7" s="1"/>
    </row>
    <row r="8" spans="1:13" ht="15" customHeight="1" x14ac:dyDescent="0.2">
      <c r="A8" s="8" t="s">
        <v>203</v>
      </c>
      <c r="B8" s="21">
        <f>B6*B7</f>
        <v>65.265200000000007</v>
      </c>
      <c r="C8" s="5"/>
      <c r="D8" s="5"/>
      <c r="E8" s="5"/>
      <c r="F8" s="5"/>
      <c r="G8" s="5"/>
      <c r="H8" s="5"/>
      <c r="I8" s="5"/>
      <c r="J8" s="5"/>
      <c r="K8" s="5"/>
      <c r="L8" s="1"/>
      <c r="M8" s="1"/>
    </row>
    <row r="9" spans="1:13" ht="15" customHeight="1" x14ac:dyDescent="0.2">
      <c r="A9" s="8" t="s">
        <v>55</v>
      </c>
      <c r="B9" s="34">
        <f>Assumptions!$B$27</f>
        <v>235</v>
      </c>
      <c r="C9" s="5"/>
      <c r="D9" s="5"/>
      <c r="E9" s="5"/>
      <c r="F9" s="5"/>
      <c r="G9" s="5"/>
      <c r="H9" s="5"/>
      <c r="I9" s="5"/>
      <c r="J9" s="5"/>
      <c r="K9" s="12"/>
      <c r="L9" s="1"/>
      <c r="M9" s="1"/>
    </row>
    <row r="10" spans="1:13" ht="15" customHeight="1" x14ac:dyDescent="0.2">
      <c r="A10" s="77" t="s">
        <v>204</v>
      </c>
      <c r="B10" s="36">
        <f>B8/(B9/1000)</f>
        <v>277.72425531914899</v>
      </c>
      <c r="C10" s="5"/>
      <c r="D10" s="5"/>
      <c r="E10" s="5"/>
      <c r="F10" s="5"/>
      <c r="G10" s="5"/>
      <c r="H10" s="5"/>
      <c r="I10" s="5"/>
      <c r="J10" s="5"/>
      <c r="K10" s="60" t="s">
        <v>205</v>
      </c>
      <c r="L10" s="1"/>
      <c r="M10" s="1"/>
    </row>
    <row r="11" spans="1:13" ht="15" customHeight="1" x14ac:dyDescent="0.2">
      <c r="A11" s="8" t="s">
        <v>206</v>
      </c>
      <c r="B11" s="27">
        <f>'ARR Bridge'!B23</f>
        <v>85.314000000000021</v>
      </c>
      <c r="C11" s="5"/>
      <c r="D11" s="5"/>
      <c r="E11" s="5"/>
      <c r="F11" s="5"/>
      <c r="G11" s="5"/>
      <c r="H11" s="5"/>
      <c r="I11" s="5"/>
      <c r="J11" s="5"/>
      <c r="K11" s="12"/>
      <c r="L11" s="1"/>
      <c r="M11" s="1"/>
    </row>
    <row r="12" spans="1:13" ht="15" customHeight="1" x14ac:dyDescent="0.2">
      <c r="A12" s="77" t="s">
        <v>207</v>
      </c>
      <c r="B12" s="37">
        <f>B11/B10</f>
        <v>0.30718958955155273</v>
      </c>
      <c r="C12" s="5"/>
      <c r="D12" s="5"/>
      <c r="E12" s="5"/>
      <c r="F12" s="5"/>
      <c r="G12" s="5"/>
      <c r="H12" s="5"/>
      <c r="I12" s="5"/>
      <c r="J12" s="5"/>
      <c r="K12" s="12"/>
      <c r="L12" s="1"/>
      <c r="M12" s="1"/>
    </row>
    <row r="13" spans="1:13" ht="15" customHeight="1" x14ac:dyDescent="0.2">
      <c r="A13" s="8" t="s">
        <v>56</v>
      </c>
      <c r="B13" s="28">
        <f>Assumptions!$B$28</f>
        <v>0.85</v>
      </c>
      <c r="C13" s="5"/>
      <c r="D13" s="5"/>
      <c r="E13" s="5"/>
      <c r="F13" s="5"/>
      <c r="G13" s="5"/>
      <c r="H13" s="5"/>
      <c r="I13" s="5"/>
      <c r="J13" s="5"/>
      <c r="K13" s="12"/>
      <c r="L13" s="1"/>
      <c r="M13" s="1"/>
    </row>
    <row r="14" spans="1:13" ht="15" customHeight="1" x14ac:dyDescent="0.2">
      <c r="A14" s="8" t="s">
        <v>208</v>
      </c>
      <c r="B14" s="30">
        <f>B12/B13</f>
        <v>0.36139951711947382</v>
      </c>
      <c r="C14" s="5"/>
      <c r="D14" s="5"/>
      <c r="E14" s="5"/>
      <c r="F14" s="5"/>
      <c r="G14" s="5"/>
      <c r="H14" s="5"/>
      <c r="I14" s="5"/>
      <c r="J14" s="5"/>
      <c r="K14" s="12"/>
      <c r="L14" s="1"/>
      <c r="M14" s="1"/>
    </row>
    <row r="15" spans="1:13" ht="15" customHeight="1" x14ac:dyDescent="0.2">
      <c r="A15" s="8" t="s">
        <v>209</v>
      </c>
      <c r="B15" s="28">
        <f>Actuals!E23</f>
        <v>0.31903290772930804</v>
      </c>
      <c r="C15" s="5"/>
      <c r="D15" s="5"/>
      <c r="E15" s="5"/>
      <c r="F15" s="5"/>
      <c r="G15" s="5"/>
      <c r="H15" s="5"/>
      <c r="I15" s="5"/>
      <c r="J15" s="5"/>
      <c r="K15" s="12"/>
      <c r="L15" s="1"/>
      <c r="M15" s="1"/>
    </row>
    <row r="16" spans="1:13" ht="1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"/>
      <c r="M16" s="1"/>
    </row>
    <row r="17" spans="1:13" ht="15" customHeight="1" x14ac:dyDescent="0.2">
      <c r="A17" s="6" t="s">
        <v>210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</row>
    <row r="18" spans="1:13" ht="15" customHeight="1" x14ac:dyDescent="0.2">
      <c r="A18" s="8" t="s">
        <v>211</v>
      </c>
      <c r="B18" s="27">
        <f>'ARR Bridge'!B39</f>
        <v>95.269999999999953</v>
      </c>
      <c r="C18" s="5"/>
      <c r="D18" s="5"/>
      <c r="E18" s="5"/>
      <c r="F18" s="5"/>
      <c r="G18" s="5"/>
      <c r="H18" s="5"/>
      <c r="I18" s="5"/>
      <c r="J18" s="5"/>
      <c r="K18" s="5"/>
      <c r="L18" s="1"/>
      <c r="M18" s="1"/>
    </row>
    <row r="19" spans="1:13" ht="15" customHeight="1" x14ac:dyDescent="0.2">
      <c r="A19" s="77" t="s">
        <v>212</v>
      </c>
      <c r="B19" s="31">
        <f>'ARR Bridge'!C39</f>
        <v>97.769999999999953</v>
      </c>
      <c r="C19" s="5"/>
      <c r="D19" s="5"/>
      <c r="E19" s="5"/>
      <c r="F19" s="5"/>
      <c r="G19" s="5"/>
      <c r="H19" s="5"/>
      <c r="I19" s="5"/>
      <c r="J19" s="5"/>
      <c r="K19" s="60" t="s">
        <v>213</v>
      </c>
      <c r="L19" s="1"/>
      <c r="M19" s="1"/>
    </row>
    <row r="20" spans="1:13" ht="15" customHeight="1" x14ac:dyDescent="0.2">
      <c r="A20" s="8" t="s">
        <v>214</v>
      </c>
      <c r="B20" s="27">
        <f>'ARR Bridge'!D39</f>
        <v>100.26999999999995</v>
      </c>
      <c r="C20" s="5"/>
      <c r="D20" s="5"/>
      <c r="E20" s="5"/>
      <c r="F20" s="5"/>
      <c r="G20" s="5"/>
      <c r="H20" s="5"/>
      <c r="I20" s="5"/>
      <c r="J20" s="5"/>
      <c r="K20" s="5"/>
      <c r="L20" s="1"/>
      <c r="M20" s="1"/>
    </row>
    <row r="21" spans="1:13" ht="15" customHeight="1" x14ac:dyDescent="0.2">
      <c r="A21" s="8" t="s">
        <v>215</v>
      </c>
      <c r="B21" s="30">
        <f>B14*(1+Assumptions!$B$35)</f>
        <v>0.37224150263305805</v>
      </c>
      <c r="C21" s="5"/>
      <c r="D21" s="5"/>
      <c r="E21" s="5"/>
      <c r="F21" s="5"/>
      <c r="G21" s="5"/>
      <c r="H21" s="5"/>
      <c r="I21" s="5"/>
      <c r="J21" s="5"/>
      <c r="K21" s="12"/>
      <c r="L21" s="1"/>
      <c r="M21" s="1"/>
    </row>
    <row r="22" spans="1:13" ht="15" customHeight="1" x14ac:dyDescent="0.2">
      <c r="A22" s="8" t="s">
        <v>216</v>
      </c>
      <c r="B22" s="28">
        <f>Assumptions!$B$20</f>
        <v>0.85</v>
      </c>
      <c r="C22" s="5"/>
      <c r="D22" s="5"/>
      <c r="E22" s="5"/>
      <c r="F22" s="5"/>
      <c r="G22" s="5"/>
      <c r="H22" s="5"/>
      <c r="I22" s="5"/>
      <c r="J22" s="5"/>
      <c r="K22" s="12"/>
      <c r="L22" s="1"/>
      <c r="M22" s="1"/>
    </row>
    <row r="23" spans="1:13" ht="15" customHeight="1" x14ac:dyDescent="0.2">
      <c r="A23" s="8" t="s">
        <v>217</v>
      </c>
      <c r="B23" s="30">
        <f>B21*B22</f>
        <v>0.31640527723809936</v>
      </c>
      <c r="C23" s="5"/>
      <c r="D23" s="5"/>
      <c r="E23" s="5"/>
      <c r="F23" s="5"/>
      <c r="G23" s="5"/>
      <c r="H23" s="5"/>
      <c r="I23" s="5"/>
      <c r="J23" s="5"/>
      <c r="K23" s="12"/>
      <c r="L23" s="1"/>
      <c r="M23" s="1"/>
    </row>
    <row r="24" spans="1:13" ht="15" customHeight="1" x14ac:dyDescent="0.2">
      <c r="A24" s="77" t="s">
        <v>218</v>
      </c>
      <c r="B24" s="36">
        <f>B19/B23</f>
        <v>309.00243148102322</v>
      </c>
      <c r="C24" s="5"/>
      <c r="D24" s="5"/>
      <c r="E24" s="5"/>
      <c r="F24" s="5"/>
      <c r="G24" s="5"/>
      <c r="H24" s="5"/>
      <c r="I24" s="5"/>
      <c r="J24" s="5"/>
      <c r="K24" s="12"/>
      <c r="L24" s="1"/>
      <c r="M24" s="1"/>
    </row>
    <row r="25" spans="1:13" ht="15" customHeight="1" x14ac:dyDescent="0.2">
      <c r="A25" s="8" t="s">
        <v>219</v>
      </c>
      <c r="B25" s="35">
        <f>B10*Assumptions!$B$29</f>
        <v>288.83322553191499</v>
      </c>
      <c r="C25" s="5"/>
      <c r="D25" s="5"/>
      <c r="E25" s="5"/>
      <c r="F25" s="5"/>
      <c r="G25" s="5"/>
      <c r="H25" s="5"/>
      <c r="I25" s="5"/>
      <c r="J25" s="5"/>
      <c r="K25" s="12"/>
      <c r="L25" s="1"/>
      <c r="M25" s="1"/>
    </row>
    <row r="26" spans="1:13" ht="15" customHeight="1" x14ac:dyDescent="0.2">
      <c r="A26" s="8" t="s">
        <v>220</v>
      </c>
      <c r="B26" s="35">
        <f>B24-B25</f>
        <v>20.169205949108232</v>
      </c>
      <c r="C26" s="5"/>
      <c r="D26" s="5"/>
      <c r="E26" s="5"/>
      <c r="F26" s="5"/>
      <c r="G26" s="5"/>
      <c r="H26" s="5"/>
      <c r="I26" s="5"/>
      <c r="J26" s="5"/>
      <c r="K26" s="12"/>
      <c r="L26" s="1"/>
      <c r="M26" s="1"/>
    </row>
    <row r="27" spans="1:13" ht="15" customHeight="1" x14ac:dyDescent="0.2">
      <c r="A27" s="8" t="s">
        <v>62</v>
      </c>
      <c r="B27" s="38">
        <f>Assumptions!$B$34</f>
        <v>3.5</v>
      </c>
      <c r="C27" s="5"/>
      <c r="D27" s="5"/>
      <c r="E27" s="5"/>
      <c r="F27" s="5"/>
      <c r="G27" s="5"/>
      <c r="H27" s="5"/>
      <c r="I27" s="5"/>
      <c r="J27" s="5"/>
      <c r="K27" s="12"/>
      <c r="L27" s="1"/>
      <c r="M27" s="1"/>
    </row>
    <row r="28" spans="1:13" ht="15" customHeight="1" x14ac:dyDescent="0.2">
      <c r="A28" s="77" t="s">
        <v>221</v>
      </c>
      <c r="B28" s="31">
        <f>B19*B27</f>
        <v>342.19499999999982</v>
      </c>
      <c r="C28" s="5"/>
      <c r="D28" s="5"/>
      <c r="E28" s="5"/>
      <c r="F28" s="5"/>
      <c r="G28" s="5"/>
      <c r="H28" s="5"/>
      <c r="I28" s="5"/>
      <c r="J28" s="5"/>
      <c r="K28" s="60" t="s">
        <v>222</v>
      </c>
      <c r="L28" s="1"/>
      <c r="M28" s="1"/>
    </row>
    <row r="29" spans="1:13" ht="1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"/>
      <c r="M29" s="1"/>
    </row>
    <row r="30" spans="1:13" ht="15" customHeight="1" x14ac:dyDescent="0.2">
      <c r="A30" s="6" t="s">
        <v>223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1"/>
      <c r="M30" s="1"/>
    </row>
    <row r="31" spans="1:13" ht="15" customHeight="1" x14ac:dyDescent="0.2">
      <c r="A31" s="9" t="s">
        <v>224</v>
      </c>
      <c r="B31" s="57">
        <v>96</v>
      </c>
      <c r="C31" s="5"/>
      <c r="D31" s="5"/>
      <c r="E31" s="5"/>
      <c r="F31" s="5"/>
      <c r="G31" s="5"/>
      <c r="H31" s="5"/>
      <c r="I31" s="5"/>
      <c r="J31" s="5"/>
      <c r="K31" s="60" t="s">
        <v>225</v>
      </c>
      <c r="L31" s="1"/>
      <c r="M31" s="1"/>
    </row>
    <row r="32" spans="1:13" ht="15" customHeight="1" x14ac:dyDescent="0.2">
      <c r="A32" s="8" t="s">
        <v>226</v>
      </c>
      <c r="B32" s="39">
        <f>$B$31/12</f>
        <v>8</v>
      </c>
      <c r="C32" s="5"/>
      <c r="D32" s="5"/>
      <c r="E32" s="5"/>
      <c r="F32" s="5"/>
      <c r="G32" s="5"/>
      <c r="H32" s="5"/>
      <c r="I32" s="5"/>
      <c r="J32" s="5"/>
      <c r="K32" s="5"/>
      <c r="L32" s="1"/>
      <c r="M32" s="1"/>
    </row>
    <row r="33" spans="1:13" ht="1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"/>
      <c r="M33" s="1"/>
    </row>
    <row r="34" spans="1:13" ht="27.75" customHeight="1" x14ac:dyDescent="0.2">
      <c r="A34" s="26" t="s">
        <v>227</v>
      </c>
      <c r="B34" s="26" t="s">
        <v>228</v>
      </c>
      <c r="C34" s="26" t="s">
        <v>229</v>
      </c>
      <c r="D34" s="26" t="s">
        <v>230</v>
      </c>
      <c r="E34" s="26" t="s">
        <v>231</v>
      </c>
      <c r="F34" s="26" t="s">
        <v>232</v>
      </c>
      <c r="G34" s="26" t="s">
        <v>233</v>
      </c>
      <c r="H34" s="26" t="s">
        <v>234</v>
      </c>
      <c r="I34" s="26" t="s">
        <v>235</v>
      </c>
      <c r="J34" s="5"/>
      <c r="K34" s="5"/>
      <c r="L34" s="1"/>
      <c r="M34" s="1"/>
    </row>
    <row r="35" spans="1:13" ht="15" customHeight="1" x14ac:dyDescent="0.2">
      <c r="A35" s="17">
        <v>1</v>
      </c>
      <c r="B35" s="39">
        <f t="shared" ref="B35:B46" si="0">$B$32</f>
        <v>8</v>
      </c>
      <c r="C35" s="40">
        <f>-$B$25*Assumptions!$B$33/12</f>
        <v>-4.3324983829787245</v>
      </c>
      <c r="D35" s="39">
        <f>$B$25+B35+C35</f>
        <v>292.50072714893628</v>
      </c>
      <c r="E35" s="39">
        <f t="shared" ref="E35:E46" si="1">SUMIFS($B$35:$B$46,$A$35:$A$46,"&lt;="&amp;A35-6)</f>
        <v>0</v>
      </c>
      <c r="F35" s="39">
        <f>Assumptions!$B$31*SUMIFS($B$35:$B$46,$A$35:$A$46,"&gt;="&amp;A35-5,$A$35:$A$46,"&lt;="&amp;A35-3)</f>
        <v>0</v>
      </c>
      <c r="G35" s="39">
        <f>$B$25+SUM($C$35:C35)+E35+F35</f>
        <v>284.50072714893628</v>
      </c>
      <c r="H35" s="30">
        <f t="shared" ref="H35:H46" si="2">G35*$B$23/12</f>
        <v>7.5014609540000032</v>
      </c>
      <c r="I35" s="30">
        <f>H35</f>
        <v>7.5014609540000032</v>
      </c>
      <c r="J35" s="5"/>
      <c r="K35" s="5"/>
      <c r="L35" s="1"/>
      <c r="M35" s="1"/>
    </row>
    <row r="36" spans="1:13" ht="15" customHeight="1" x14ac:dyDescent="0.2">
      <c r="A36" s="17">
        <v>2</v>
      </c>
      <c r="B36" s="39">
        <f t="shared" si="0"/>
        <v>8</v>
      </c>
      <c r="C36" s="40">
        <f>-D35*Assumptions!$B$33/12</f>
        <v>-4.3875109072340441</v>
      </c>
      <c r="D36" s="39">
        <f t="shared" ref="D36:D46" si="3">D35+B36+C36</f>
        <v>296.11321624170222</v>
      </c>
      <c r="E36" s="39">
        <f t="shared" si="1"/>
        <v>0</v>
      </c>
      <c r="F36" s="39">
        <f>Assumptions!$B$31*SUMIFS($B$35:$B$46,$A$35:$A$46,"&gt;="&amp;A36-5,$A$35:$A$46,"&lt;="&amp;A36-3)</f>
        <v>0</v>
      </c>
      <c r="G36" s="39">
        <f>$B$25+SUM($C$35:C36)+E36+F36</f>
        <v>280.11321624170222</v>
      </c>
      <c r="H36" s="30">
        <f t="shared" si="2"/>
        <v>7.3857749869176219</v>
      </c>
      <c r="I36" s="30">
        <f t="shared" ref="I36:I46" si="4">I35+H36</f>
        <v>14.887235940917625</v>
      </c>
      <c r="J36" s="5"/>
      <c r="K36" s="5"/>
      <c r="L36" s="1"/>
      <c r="M36" s="1"/>
    </row>
    <row r="37" spans="1:13" ht="15" customHeight="1" x14ac:dyDescent="0.2">
      <c r="A37" s="17">
        <v>3</v>
      </c>
      <c r="B37" s="39">
        <f t="shared" si="0"/>
        <v>8</v>
      </c>
      <c r="C37" s="40">
        <f>-D36*Assumptions!$B$33/12</f>
        <v>-4.4416982436255337</v>
      </c>
      <c r="D37" s="39">
        <f t="shared" si="3"/>
        <v>299.67151799807669</v>
      </c>
      <c r="E37" s="39">
        <f t="shared" si="1"/>
        <v>0</v>
      </c>
      <c r="F37" s="39">
        <f>Assumptions!$B$31*SUMIFS($B$35:$B$46,$A$35:$A$46,"&gt;="&amp;A37-5,$A$35:$A$46,"&lt;="&amp;A37-3)</f>
        <v>0</v>
      </c>
      <c r="G37" s="39">
        <f>$B$25+SUM($C$35:C37)+E37+F37</f>
        <v>275.67151799807669</v>
      </c>
      <c r="H37" s="30">
        <f t="shared" si="2"/>
        <v>7.2686602565690963</v>
      </c>
      <c r="I37" s="30">
        <f t="shared" si="4"/>
        <v>22.155896197486722</v>
      </c>
      <c r="J37" s="5"/>
      <c r="K37" s="5"/>
      <c r="L37" s="1"/>
      <c r="M37" s="1"/>
    </row>
    <row r="38" spans="1:13" ht="15" customHeight="1" x14ac:dyDescent="0.2">
      <c r="A38" s="17">
        <v>4</v>
      </c>
      <c r="B38" s="39">
        <f t="shared" si="0"/>
        <v>8</v>
      </c>
      <c r="C38" s="40">
        <f>-D37*Assumptions!$B$33/12</f>
        <v>-4.4950727699711504</v>
      </c>
      <c r="D38" s="39">
        <f t="shared" si="3"/>
        <v>303.17644522810554</v>
      </c>
      <c r="E38" s="39">
        <f t="shared" si="1"/>
        <v>0</v>
      </c>
      <c r="F38" s="39">
        <f>Assumptions!$B$31*SUMIFS($B$35:$B$46,$A$35:$A$46,"&gt;="&amp;A38-5,$A$35:$A$46,"&lt;="&amp;A38-3)</f>
        <v>4</v>
      </c>
      <c r="G38" s="39">
        <f>$B$25+SUM($C$35:C38)+E38+F38</f>
        <v>275.17644522810554</v>
      </c>
      <c r="H38" s="30">
        <f t="shared" si="2"/>
        <v>7.2556066201494493</v>
      </c>
      <c r="I38" s="30">
        <f t="shared" si="4"/>
        <v>29.411502817636173</v>
      </c>
      <c r="J38" s="5"/>
      <c r="K38" s="5"/>
      <c r="L38" s="1"/>
      <c r="M38" s="1"/>
    </row>
    <row r="39" spans="1:13" ht="15" customHeight="1" x14ac:dyDescent="0.2">
      <c r="A39" s="17">
        <v>5</v>
      </c>
      <c r="B39" s="39">
        <f t="shared" si="0"/>
        <v>8</v>
      </c>
      <c r="C39" s="40">
        <f>-D38*Assumptions!$B$33/12</f>
        <v>-4.5476466784215832</v>
      </c>
      <c r="D39" s="39">
        <f t="shared" si="3"/>
        <v>306.62879854968395</v>
      </c>
      <c r="E39" s="39">
        <f t="shared" si="1"/>
        <v>0</v>
      </c>
      <c r="F39" s="39">
        <f>Assumptions!$B$31*SUMIFS($B$35:$B$46,$A$35:$A$46,"&gt;="&amp;A39-5,$A$35:$A$46,"&lt;="&amp;A39-3)</f>
        <v>8</v>
      </c>
      <c r="G39" s="39">
        <f>$B$25+SUM($C$35:C39)+E39+F39</f>
        <v>274.62879854968395</v>
      </c>
      <c r="H39" s="30">
        <f t="shared" si="2"/>
        <v>7.2411667618899074</v>
      </c>
      <c r="I39" s="30">
        <f t="shared" si="4"/>
        <v>36.652669579526076</v>
      </c>
      <c r="J39" s="5"/>
      <c r="K39" s="5"/>
      <c r="L39" s="1"/>
      <c r="M39" s="1"/>
    </row>
    <row r="40" spans="1:13" ht="15" customHeight="1" x14ac:dyDescent="0.2">
      <c r="A40" s="17">
        <v>6</v>
      </c>
      <c r="B40" s="39">
        <f t="shared" si="0"/>
        <v>8</v>
      </c>
      <c r="C40" s="40">
        <f>-D39*Assumptions!$B$33/12</f>
        <v>-4.5994319782452591</v>
      </c>
      <c r="D40" s="39">
        <f t="shared" si="3"/>
        <v>310.02936657143869</v>
      </c>
      <c r="E40" s="39">
        <f t="shared" si="1"/>
        <v>0</v>
      </c>
      <c r="F40" s="39">
        <f>Assumptions!$B$31*SUMIFS($B$35:$B$46,$A$35:$A$46,"&gt;="&amp;A40-5,$A$35:$A$46,"&lt;="&amp;A40-3)</f>
        <v>12</v>
      </c>
      <c r="G40" s="39">
        <f>$B$25+SUM($C$35:C40)+E40+F40</f>
        <v>274.02936657143869</v>
      </c>
      <c r="H40" s="30">
        <f t="shared" si="2"/>
        <v>7.2253614751180679</v>
      </c>
      <c r="I40" s="30">
        <f t="shared" si="4"/>
        <v>43.878031054644147</v>
      </c>
      <c r="J40" s="5"/>
      <c r="K40" s="5"/>
      <c r="L40" s="1"/>
      <c r="M40" s="1"/>
    </row>
    <row r="41" spans="1:13" ht="15" customHeight="1" x14ac:dyDescent="0.2">
      <c r="A41" s="17">
        <v>7</v>
      </c>
      <c r="B41" s="39">
        <f t="shared" si="0"/>
        <v>8</v>
      </c>
      <c r="C41" s="40">
        <f>-D40*Assumptions!$B$33/12</f>
        <v>-4.6504404985715802</v>
      </c>
      <c r="D41" s="39">
        <f t="shared" si="3"/>
        <v>313.3789260728671</v>
      </c>
      <c r="E41" s="39">
        <f t="shared" si="1"/>
        <v>8</v>
      </c>
      <c r="F41" s="39">
        <f>Assumptions!$B$31*SUMIFS($B$35:$B$46,$A$35:$A$46,"&gt;="&amp;A41-5,$A$35:$A$46,"&lt;="&amp;A41-3)</f>
        <v>12</v>
      </c>
      <c r="G41" s="39">
        <f>$B$25+SUM($C$35:C41)+E41+F41</f>
        <v>277.3789260728671</v>
      </c>
      <c r="H41" s="30">
        <f t="shared" si="2"/>
        <v>7.3136796670076487</v>
      </c>
      <c r="I41" s="30">
        <f t="shared" si="4"/>
        <v>51.191710721651795</v>
      </c>
      <c r="J41" s="5"/>
      <c r="K41" s="5"/>
      <c r="L41" s="1"/>
      <c r="M41" s="1"/>
    </row>
    <row r="42" spans="1:13" ht="15" customHeight="1" x14ac:dyDescent="0.2">
      <c r="A42" s="17">
        <v>8</v>
      </c>
      <c r="B42" s="39">
        <f t="shared" si="0"/>
        <v>8</v>
      </c>
      <c r="C42" s="40">
        <f>-D41*Assumptions!$B$33/12</f>
        <v>-4.7006838910930062</v>
      </c>
      <c r="D42" s="39">
        <f t="shared" si="3"/>
        <v>316.67824218177412</v>
      </c>
      <c r="E42" s="39">
        <f t="shared" si="1"/>
        <v>16</v>
      </c>
      <c r="F42" s="39">
        <f>Assumptions!$B$31*SUMIFS($B$35:$B$46,$A$35:$A$46,"&gt;="&amp;A42-5,$A$35:$A$46,"&lt;="&amp;A42-3)</f>
        <v>12</v>
      </c>
      <c r="G42" s="39">
        <f>$B$25+SUM($C$35:C42)+E42+F42</f>
        <v>280.67824218177412</v>
      </c>
      <c r="H42" s="30">
        <f t="shared" si="2"/>
        <v>7.4006730860188865</v>
      </c>
      <c r="I42" s="30">
        <f t="shared" si="4"/>
        <v>58.592383807670679</v>
      </c>
      <c r="J42" s="5"/>
      <c r="K42" s="5"/>
      <c r="L42" s="1"/>
      <c r="M42" s="1"/>
    </row>
    <row r="43" spans="1:13" ht="15" customHeight="1" x14ac:dyDescent="0.2">
      <c r="A43" s="17">
        <v>9</v>
      </c>
      <c r="B43" s="39">
        <f t="shared" si="0"/>
        <v>8</v>
      </c>
      <c r="C43" s="40">
        <f>-D42*Assumptions!$B$33/12</f>
        <v>-4.7501736327266117</v>
      </c>
      <c r="D43" s="39">
        <f t="shared" si="3"/>
        <v>319.92806854904751</v>
      </c>
      <c r="E43" s="39">
        <f t="shared" si="1"/>
        <v>24</v>
      </c>
      <c r="F43" s="39">
        <f>Assumptions!$B$31*SUMIFS($B$35:$B$46,$A$35:$A$46,"&gt;="&amp;A43-5,$A$35:$A$46,"&lt;="&amp;A43-3)</f>
        <v>12</v>
      </c>
      <c r="G43" s="39">
        <f>$B$25+SUM($C$35:C43)+E43+F43</f>
        <v>283.92806854904751</v>
      </c>
      <c r="H43" s="30">
        <f t="shared" si="2"/>
        <v>7.4863616037449541</v>
      </c>
      <c r="I43" s="30">
        <f t="shared" si="4"/>
        <v>66.078745411415639</v>
      </c>
      <c r="J43" s="5"/>
      <c r="K43" s="5"/>
      <c r="L43" s="1"/>
      <c r="M43" s="1"/>
    </row>
    <row r="44" spans="1:13" ht="15" customHeight="1" x14ac:dyDescent="0.2">
      <c r="A44" s="17">
        <v>10</v>
      </c>
      <c r="B44" s="39">
        <f t="shared" si="0"/>
        <v>8</v>
      </c>
      <c r="C44" s="40">
        <f>-D43*Assumptions!$B$33/12</f>
        <v>-4.7989210282357124</v>
      </c>
      <c r="D44" s="39">
        <f t="shared" si="3"/>
        <v>323.12914752081178</v>
      </c>
      <c r="E44" s="39">
        <f t="shared" si="1"/>
        <v>32</v>
      </c>
      <c r="F44" s="39">
        <f>Assumptions!$B$31*SUMIFS($B$35:$B$46,$A$35:$A$46,"&gt;="&amp;A44-5,$A$35:$A$46,"&lt;="&amp;A44-3)</f>
        <v>12</v>
      </c>
      <c r="G44" s="39">
        <f>$B$25+SUM($C$35:C44)+E44+F44</f>
        <v>287.12914752081178</v>
      </c>
      <c r="H44" s="30">
        <f t="shared" si="2"/>
        <v>7.5707647937051314</v>
      </c>
      <c r="I44" s="30">
        <f t="shared" si="4"/>
        <v>73.649510205120777</v>
      </c>
      <c r="J44" s="5"/>
      <c r="K44" s="5"/>
      <c r="L44" s="1"/>
      <c r="M44" s="1"/>
    </row>
    <row r="45" spans="1:13" ht="15" customHeight="1" x14ac:dyDescent="0.2">
      <c r="A45" s="17">
        <v>11</v>
      </c>
      <c r="B45" s="39">
        <f t="shared" si="0"/>
        <v>8</v>
      </c>
      <c r="C45" s="40">
        <f>-D44*Assumptions!$B$33/12</f>
        <v>-4.8469372128121764</v>
      </c>
      <c r="D45" s="39">
        <f t="shared" si="3"/>
        <v>326.28221030799961</v>
      </c>
      <c r="E45" s="39">
        <f t="shared" si="1"/>
        <v>40</v>
      </c>
      <c r="F45" s="39">
        <f>Assumptions!$B$31*SUMIFS($B$35:$B$46,$A$35:$A$46,"&gt;="&amp;A45-5,$A$35:$A$46,"&lt;="&amp;A45-3)</f>
        <v>12</v>
      </c>
      <c r="G45" s="39">
        <f>$B$25+SUM($C$35:C45)+E45+F45</f>
        <v>290.28221030799961</v>
      </c>
      <c r="H45" s="30">
        <f t="shared" si="2"/>
        <v>7.6539019358159068</v>
      </c>
      <c r="I45" s="30">
        <f t="shared" si="4"/>
        <v>81.303412140936686</v>
      </c>
      <c r="J45" s="5"/>
      <c r="K45" s="5"/>
      <c r="L45" s="1"/>
      <c r="M45" s="1"/>
    </row>
    <row r="46" spans="1:13" ht="15" customHeight="1" x14ac:dyDescent="0.2">
      <c r="A46" s="17">
        <v>12</v>
      </c>
      <c r="B46" s="39">
        <f t="shared" si="0"/>
        <v>8</v>
      </c>
      <c r="C46" s="40">
        <f>-D45*Assumptions!$B$33/12</f>
        <v>-4.894233154619994</v>
      </c>
      <c r="D46" s="39">
        <f t="shared" si="3"/>
        <v>329.38797715337961</v>
      </c>
      <c r="E46" s="39">
        <f t="shared" si="1"/>
        <v>48</v>
      </c>
      <c r="F46" s="39">
        <f>Assumptions!$B$31*SUMIFS($B$35:$B$46,$A$35:$A$46,"&gt;="&amp;A46-5,$A$35:$A$46,"&lt;="&amp;A46-3)</f>
        <v>12</v>
      </c>
      <c r="G46" s="39">
        <f>$B$25+SUM($C$35:C46)+E46+F46</f>
        <v>293.38797715337961</v>
      </c>
      <c r="H46" s="30">
        <f t="shared" si="2"/>
        <v>7.7357920207950199</v>
      </c>
      <c r="I46" s="30">
        <f t="shared" si="4"/>
        <v>89.039204161731703</v>
      </c>
      <c r="J46" s="5"/>
      <c r="K46" s="5"/>
      <c r="L46" s="1"/>
      <c r="M46" s="1"/>
    </row>
    <row r="47" spans="1:13" ht="15" customHeight="1" x14ac:dyDescent="0.2">
      <c r="A47" s="72" t="s">
        <v>236</v>
      </c>
      <c r="B47" s="73">
        <f>SUM(B35:B46)</f>
        <v>96</v>
      </c>
      <c r="C47" s="73">
        <f>SUM(C35:C46)</f>
        <v>-55.445248378535382</v>
      </c>
      <c r="D47" s="73">
        <f>D46</f>
        <v>329.38797715337961</v>
      </c>
      <c r="E47" s="74"/>
      <c r="F47" s="74"/>
      <c r="G47" s="73">
        <f>AVERAGE(G35:G46)</f>
        <v>281.40872029365198</v>
      </c>
      <c r="H47" s="75">
        <f>SUM(H35:H46)</f>
        <v>89.039204161731703</v>
      </c>
      <c r="I47" s="75">
        <f>I46</f>
        <v>89.039204161731703</v>
      </c>
      <c r="J47" s="5"/>
      <c r="K47" s="12"/>
      <c r="L47" s="1"/>
      <c r="M47" s="1"/>
    </row>
    <row r="48" spans="1:13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"/>
      <c r="M48" s="1"/>
    </row>
    <row r="49" spans="1:13" ht="15" customHeight="1" x14ac:dyDescent="0.2">
      <c r="A49" s="6" t="s">
        <v>237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1"/>
      <c r="M49" s="1"/>
    </row>
    <row r="50" spans="1:13" ht="15" customHeight="1" x14ac:dyDescent="0.2">
      <c r="A50" s="8" t="s">
        <v>238</v>
      </c>
      <c r="B50" s="21">
        <f>H47</f>
        <v>89.039204161731703</v>
      </c>
      <c r="C50" s="5"/>
      <c r="D50" s="5"/>
      <c r="E50" s="5"/>
      <c r="F50" s="5"/>
      <c r="G50" s="5"/>
      <c r="H50" s="5"/>
      <c r="I50" s="5"/>
      <c r="J50" s="5"/>
      <c r="K50" s="12"/>
      <c r="L50" s="1"/>
      <c r="M50" s="1"/>
    </row>
    <row r="51" spans="1:13" ht="15" customHeight="1" x14ac:dyDescent="0.2">
      <c r="A51" s="8" t="s">
        <v>239</v>
      </c>
      <c r="B51" s="21">
        <f>B19</f>
        <v>97.769999999999953</v>
      </c>
      <c r="C51" s="5"/>
      <c r="D51" s="5"/>
      <c r="E51" s="5"/>
      <c r="F51" s="5"/>
      <c r="G51" s="5"/>
      <c r="H51" s="5"/>
      <c r="I51" s="5"/>
      <c r="J51" s="5"/>
      <c r="K51" s="12"/>
      <c r="L51" s="1"/>
      <c r="M51" s="1"/>
    </row>
    <row r="52" spans="1:13" ht="15" customHeight="1" x14ac:dyDescent="0.2">
      <c r="A52" s="77" t="s">
        <v>240</v>
      </c>
      <c r="B52" s="31">
        <f>B50-B51</f>
        <v>-8.73079583826825</v>
      </c>
      <c r="C52" s="5"/>
      <c r="D52" s="5"/>
      <c r="E52" s="5"/>
      <c r="F52" s="5"/>
      <c r="G52" s="5"/>
      <c r="H52" s="5"/>
      <c r="I52" s="5"/>
      <c r="J52" s="5"/>
      <c r="K52" s="12"/>
      <c r="L52" s="1"/>
      <c r="M52" s="1"/>
    </row>
    <row r="53" spans="1:13" ht="15" customHeight="1" x14ac:dyDescent="0.2">
      <c r="A53" s="77" t="s">
        <v>241</v>
      </c>
      <c r="B53" s="32">
        <f>B50/B51</f>
        <v>0.9107006664798174</v>
      </c>
      <c r="C53" s="5"/>
      <c r="D53" s="5"/>
      <c r="E53" s="5"/>
      <c r="F53" s="5"/>
      <c r="G53" s="5"/>
      <c r="H53" s="5"/>
      <c r="I53" s="5"/>
      <c r="J53" s="5"/>
      <c r="K53" s="12"/>
      <c r="L53" s="1"/>
      <c r="M53" s="1"/>
    </row>
    <row r="54" spans="1:13" ht="1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"/>
      <c r="M54" s="1"/>
    </row>
    <row r="55" spans="1:13" ht="15" customHeight="1" x14ac:dyDescent="0.2">
      <c r="A55" s="8" t="s">
        <v>242</v>
      </c>
      <c r="B55" s="35">
        <f>G47</f>
        <v>281.40872029365198</v>
      </c>
      <c r="C55" s="5"/>
      <c r="D55" s="5"/>
      <c r="E55" s="5"/>
      <c r="F55" s="5"/>
      <c r="G55" s="5"/>
      <c r="H55" s="5"/>
      <c r="I55" s="5"/>
      <c r="J55" s="5"/>
      <c r="K55" s="5"/>
      <c r="L55" s="1"/>
      <c r="M55" s="1"/>
    </row>
    <row r="56" spans="1:13" ht="15" customHeight="1" x14ac:dyDescent="0.2">
      <c r="A56" s="8" t="s">
        <v>243</v>
      </c>
      <c r="B56" s="35">
        <f>B24</f>
        <v>309.00243148102322</v>
      </c>
      <c r="C56" s="5"/>
      <c r="D56" s="5"/>
      <c r="E56" s="5"/>
      <c r="F56" s="5"/>
      <c r="G56" s="5"/>
      <c r="H56" s="5"/>
      <c r="I56" s="5"/>
      <c r="J56" s="5"/>
      <c r="K56" s="5"/>
      <c r="L56" s="1"/>
      <c r="M56" s="1"/>
    </row>
    <row r="57" spans="1:13" ht="15" customHeight="1" x14ac:dyDescent="0.2">
      <c r="A57" s="8" t="s">
        <v>244</v>
      </c>
      <c r="B57" s="41">
        <f>B56-B55</f>
        <v>27.593711187371241</v>
      </c>
      <c r="C57" s="5"/>
      <c r="D57" s="5"/>
      <c r="E57" s="5"/>
      <c r="F57" s="5"/>
      <c r="G57" s="5"/>
      <c r="H57" s="5"/>
      <c r="I57" s="5"/>
      <c r="J57" s="5"/>
      <c r="K57" s="12"/>
      <c r="L57" s="1"/>
      <c r="M57" s="1"/>
    </row>
    <row r="58" spans="1:13" ht="1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"/>
      <c r="M58" s="1"/>
    </row>
    <row r="59" spans="1:13" ht="15" customHeight="1" x14ac:dyDescent="0.2">
      <c r="A59" s="76" t="s">
        <v>245</v>
      </c>
      <c r="B59" s="24"/>
      <c r="C59" s="5"/>
      <c r="D59" s="5"/>
      <c r="E59" s="5"/>
      <c r="F59" s="5"/>
      <c r="G59" s="5"/>
      <c r="H59" s="5"/>
      <c r="I59" s="5"/>
      <c r="J59" s="5"/>
      <c r="K59" s="5"/>
      <c r="L59" s="1"/>
      <c r="M59" s="1"/>
    </row>
    <row r="60" spans="1:13" ht="15" customHeight="1" x14ac:dyDescent="0.2">
      <c r="A60" s="8" t="s">
        <v>246</v>
      </c>
      <c r="B60" s="30">
        <f>SUM(E35:F46)/12/B31</f>
        <v>0.22916666666666666</v>
      </c>
      <c r="C60" s="5"/>
      <c r="D60" s="5"/>
      <c r="E60" s="5"/>
      <c r="F60" s="5"/>
      <c r="G60" s="5"/>
      <c r="H60" s="5"/>
      <c r="I60" s="5"/>
      <c r="J60" s="5"/>
      <c r="K60" s="12"/>
      <c r="L60" s="1"/>
      <c r="M60" s="1"/>
    </row>
    <row r="61" spans="1:13" ht="15" customHeight="1" x14ac:dyDescent="0.2">
      <c r="A61" s="8" t="s">
        <v>247</v>
      </c>
      <c r="B61" s="35">
        <f>B57/B60</f>
        <v>120.40892154489269</v>
      </c>
      <c r="C61" s="5"/>
      <c r="D61" s="5"/>
      <c r="E61" s="5"/>
      <c r="F61" s="5"/>
      <c r="G61" s="5"/>
      <c r="H61" s="5"/>
      <c r="I61" s="5"/>
      <c r="J61" s="5"/>
      <c r="K61" s="12"/>
      <c r="L61" s="1"/>
      <c r="M61" s="1"/>
    </row>
    <row r="62" spans="1:13" ht="15" customHeight="1" x14ac:dyDescent="0.2">
      <c r="A62" s="8" t="s">
        <v>248</v>
      </c>
      <c r="B62" s="35">
        <f>B31+B61</f>
        <v>216.40892154489268</v>
      </c>
      <c r="C62" s="5"/>
      <c r="D62" s="5"/>
      <c r="E62" s="5"/>
      <c r="F62" s="5"/>
      <c r="G62" s="5"/>
      <c r="H62" s="5"/>
      <c r="I62" s="5"/>
      <c r="J62" s="5"/>
      <c r="K62" s="5"/>
      <c r="L62" s="1"/>
      <c r="M62" s="1"/>
    </row>
    <row r="63" spans="1:13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"/>
      <c r="M63" s="1"/>
    </row>
    <row r="64" spans="1:13" ht="15" customHeight="1" x14ac:dyDescent="0.2">
      <c r="A64" s="76" t="s">
        <v>249</v>
      </c>
      <c r="B64" s="24"/>
      <c r="C64" s="5"/>
      <c r="D64" s="5"/>
      <c r="E64" s="5"/>
      <c r="F64" s="5"/>
      <c r="G64" s="5"/>
      <c r="H64" s="5"/>
      <c r="I64" s="5"/>
      <c r="J64" s="5"/>
      <c r="K64" s="5"/>
      <c r="L64" s="1"/>
      <c r="M64" s="1"/>
    </row>
    <row r="65" spans="1:13" ht="15" customHeight="1" x14ac:dyDescent="0.2">
      <c r="A65" s="8" t="s">
        <v>250</v>
      </c>
      <c r="B65" s="35">
        <f>B25+B57</f>
        <v>316.42693671928623</v>
      </c>
      <c r="C65" s="5"/>
      <c r="D65" s="5"/>
      <c r="E65" s="5"/>
      <c r="F65" s="5"/>
      <c r="G65" s="5"/>
      <c r="H65" s="5"/>
      <c r="I65" s="5"/>
      <c r="J65" s="5"/>
      <c r="K65" s="12"/>
      <c r="L65" s="1"/>
      <c r="M65" s="1"/>
    </row>
    <row r="66" spans="1:13" ht="15" customHeight="1" x14ac:dyDescent="0.2">
      <c r="A66" s="8" t="s">
        <v>251</v>
      </c>
      <c r="B66" s="35">
        <f>B65-B25</f>
        <v>27.593711187371241</v>
      </c>
      <c r="C66" s="5"/>
      <c r="D66" s="5"/>
      <c r="E66" s="5"/>
      <c r="F66" s="5"/>
      <c r="G66" s="5"/>
      <c r="H66" s="5"/>
      <c r="I66" s="5"/>
      <c r="J66" s="5"/>
      <c r="K66" s="60" t="s">
        <v>252</v>
      </c>
      <c r="L66" s="1"/>
      <c r="M66" s="1"/>
    </row>
    <row r="67" spans="1:13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"/>
      <c r="M67" s="1"/>
    </row>
    <row r="68" spans="1:13" ht="15" customHeight="1" x14ac:dyDescent="0.2">
      <c r="A68" s="76" t="s">
        <v>253</v>
      </c>
      <c r="B68" s="24"/>
      <c r="C68" s="5"/>
      <c r="D68" s="5"/>
      <c r="E68" s="5"/>
      <c r="F68" s="5"/>
      <c r="G68" s="5"/>
      <c r="H68" s="5"/>
      <c r="I68" s="5"/>
      <c r="J68" s="5"/>
      <c r="K68" s="5"/>
      <c r="L68" s="1"/>
      <c r="M68" s="1"/>
    </row>
    <row r="69" spans="1:13" ht="15" customHeight="1" x14ac:dyDescent="0.2">
      <c r="A69" s="8" t="s">
        <v>254</v>
      </c>
      <c r="B69" s="22">
        <f>B51/B50-1</f>
        <v>9.8055636508268318E-2</v>
      </c>
      <c r="C69" s="5"/>
      <c r="D69" s="5"/>
      <c r="E69" s="5"/>
      <c r="F69" s="5"/>
      <c r="G69" s="5"/>
      <c r="H69" s="5"/>
      <c r="I69" s="5"/>
      <c r="J69" s="5"/>
      <c r="K69" s="12"/>
      <c r="L69" s="1"/>
      <c r="M69" s="1"/>
    </row>
    <row r="70" spans="1:13" ht="15" customHeight="1" x14ac:dyDescent="0.2">
      <c r="A70" s="8" t="s">
        <v>255</v>
      </c>
      <c r="B70" s="30">
        <f>B23*(1+B69)</f>
        <v>0.34743059809225629</v>
      </c>
      <c r="C70" s="5"/>
      <c r="D70" s="5"/>
      <c r="E70" s="5"/>
      <c r="F70" s="5"/>
      <c r="G70" s="5"/>
      <c r="H70" s="5"/>
      <c r="I70" s="5"/>
      <c r="J70" s="5"/>
      <c r="K70" s="12"/>
      <c r="L70" s="1"/>
      <c r="M70" s="1"/>
    </row>
    <row r="71" spans="1:13" ht="1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"/>
      <c r="M71" s="1"/>
    </row>
    <row r="72" spans="1:13" ht="15" customHeight="1" x14ac:dyDescent="0.2">
      <c r="A72" s="6" t="s">
        <v>256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1"/>
      <c r="M72" s="1"/>
    </row>
    <row r="73" spans="1:13" ht="15" customHeight="1" x14ac:dyDescent="0.2">
      <c r="A73" s="8" t="s">
        <v>257</v>
      </c>
      <c r="B73" s="35">
        <f>(B25+D47)/2</f>
        <v>309.11060134264733</v>
      </c>
      <c r="C73" s="5"/>
      <c r="D73" s="5"/>
      <c r="E73" s="5"/>
      <c r="F73" s="5"/>
      <c r="G73" s="5"/>
      <c r="H73" s="5"/>
      <c r="I73" s="5"/>
      <c r="J73" s="5"/>
      <c r="K73" s="5"/>
      <c r="L73" s="1"/>
      <c r="M73" s="1"/>
    </row>
    <row r="74" spans="1:13" ht="15" customHeight="1" x14ac:dyDescent="0.2">
      <c r="A74" s="8" t="s">
        <v>258</v>
      </c>
      <c r="B74" s="21">
        <f>B73*B9/1000</f>
        <v>72.640991315522129</v>
      </c>
      <c r="C74" s="5"/>
      <c r="D74" s="5"/>
      <c r="E74" s="5"/>
      <c r="F74" s="5"/>
      <c r="G74" s="5"/>
      <c r="H74" s="5"/>
      <c r="I74" s="5"/>
      <c r="J74" s="5"/>
      <c r="K74" s="5"/>
      <c r="L74" s="1"/>
      <c r="M74" s="1"/>
    </row>
    <row r="75" spans="1:13" ht="15" customHeight="1" x14ac:dyDescent="0.2">
      <c r="A75" s="8" t="s">
        <v>259</v>
      </c>
      <c r="B75" s="21">
        <f>B74/B7</f>
        <v>181.60247828880532</v>
      </c>
      <c r="C75" s="5"/>
      <c r="D75" s="5"/>
      <c r="E75" s="5"/>
      <c r="F75" s="5"/>
      <c r="G75" s="5"/>
      <c r="H75" s="5"/>
      <c r="I75" s="5"/>
      <c r="J75" s="5"/>
      <c r="K75" s="5"/>
      <c r="L75" s="1"/>
      <c r="M75" s="1"/>
    </row>
    <row r="76" spans="1:13" ht="15" customHeight="1" x14ac:dyDescent="0.2">
      <c r="A76" s="8" t="s">
        <v>260</v>
      </c>
      <c r="B76" s="27">
        <f>Actuals!E29</f>
        <v>556.5</v>
      </c>
      <c r="C76" s="5"/>
      <c r="D76" s="5"/>
      <c r="E76" s="5"/>
      <c r="F76" s="5"/>
      <c r="G76" s="5"/>
      <c r="H76" s="5"/>
      <c r="I76" s="5"/>
      <c r="J76" s="5"/>
      <c r="K76" s="12"/>
      <c r="L76" s="1"/>
      <c r="M76" s="1"/>
    </row>
    <row r="77" spans="1:13" ht="15" customHeight="1" x14ac:dyDescent="0.2">
      <c r="A77" s="8" t="s">
        <v>261</v>
      </c>
      <c r="B77" s="22">
        <f>B75/B76</f>
        <v>0.32632970042912007</v>
      </c>
      <c r="C77" s="5"/>
      <c r="D77" s="5"/>
      <c r="E77" s="5"/>
      <c r="F77" s="5"/>
      <c r="G77" s="5"/>
      <c r="H77" s="5"/>
      <c r="I77" s="5"/>
      <c r="J77" s="5"/>
      <c r="K77" s="5"/>
      <c r="L77" s="1"/>
      <c r="M77" s="1"/>
    </row>
    <row r="78" spans="1:13" ht="15" customHeight="1" x14ac:dyDescent="0.2">
      <c r="A78" s="8" t="s">
        <v>262</v>
      </c>
      <c r="B78" s="22">
        <f>B15</f>
        <v>0.31903290772930804</v>
      </c>
      <c r="C78" s="5"/>
      <c r="D78" s="5"/>
      <c r="E78" s="5"/>
      <c r="F78" s="5"/>
      <c r="G78" s="5"/>
      <c r="H78" s="5"/>
      <c r="I78" s="5"/>
      <c r="J78" s="5"/>
      <c r="K78" s="12"/>
      <c r="L78" s="1"/>
      <c r="M78" s="1"/>
    </row>
    <row r="79" spans="1:13" ht="15" customHeight="1" x14ac:dyDescent="0.2">
      <c r="A79" s="77" t="s">
        <v>263</v>
      </c>
      <c r="B79" s="43">
        <f>(B77-B78)*10000</f>
        <v>72.967926998120376</v>
      </c>
      <c r="C79" s="5"/>
      <c r="D79" s="5"/>
      <c r="E79" s="5"/>
      <c r="F79" s="5"/>
      <c r="G79" s="5"/>
      <c r="H79" s="5"/>
      <c r="I79" s="5"/>
      <c r="J79" s="5"/>
      <c r="K79" s="60" t="s">
        <v>264</v>
      </c>
      <c r="L79" s="1"/>
      <c r="M79" s="1"/>
    </row>
    <row r="80" spans="1:13" ht="15" customHeight="1" x14ac:dyDescent="0.2">
      <c r="A80" s="8" t="s">
        <v>265</v>
      </c>
      <c r="B80" s="22">
        <f>Actuals!E30/Actuals!E29</f>
        <v>0.30368373764600182</v>
      </c>
      <c r="C80" s="5"/>
      <c r="D80" s="5"/>
      <c r="E80" s="5"/>
      <c r="F80" s="5"/>
      <c r="G80" s="5"/>
      <c r="H80" s="5"/>
      <c r="I80" s="5"/>
      <c r="J80" s="5"/>
      <c r="K80" s="12"/>
      <c r="L80" s="1"/>
      <c r="M80" s="1"/>
    </row>
    <row r="81" spans="1:13" ht="15" customHeight="1" x14ac:dyDescent="0.2">
      <c r="A81" s="8" t="s">
        <v>266</v>
      </c>
      <c r="B81" s="28">
        <f>Actuals!E22</f>
        <v>0.29963044795964261</v>
      </c>
      <c r="C81" s="5"/>
      <c r="D81" s="5"/>
      <c r="E81" s="5"/>
      <c r="F81" s="5"/>
      <c r="G81" s="5"/>
      <c r="H81" s="5"/>
      <c r="I81" s="5"/>
      <c r="J81" s="5"/>
      <c r="K81" s="12"/>
      <c r="L81" s="1"/>
      <c r="M81" s="1"/>
    </row>
    <row r="82" spans="1:13" ht="15" customHeight="1" x14ac:dyDescent="0.2">
      <c r="A82" s="77" t="s">
        <v>267</v>
      </c>
      <c r="B82" s="43">
        <f>(B80-B81)*10000</f>
        <v>40.532896863592072</v>
      </c>
      <c r="C82" s="5"/>
      <c r="D82" s="5"/>
      <c r="E82" s="5"/>
      <c r="F82" s="5"/>
      <c r="G82" s="5"/>
      <c r="H82" s="5"/>
      <c r="I82" s="5"/>
      <c r="J82" s="5"/>
      <c r="K82" s="5"/>
      <c r="L82" s="1"/>
      <c r="M82" s="1"/>
    </row>
    <row r="83" spans="1:13" ht="15" customHeight="1" x14ac:dyDescent="0.2">
      <c r="A83" s="9" t="s">
        <v>268</v>
      </c>
      <c r="B83" s="86" t="str">
        <f>"Modeled S&amp;M intensity rises "&amp;TEXT(B79,"#,##0")&amp;" bps; achieving the guided EBITDA margin would require offsetting improvement elsewhere."</f>
        <v>Modeled S&amp;M intensity rises 73 bps; achieving the guided EBITDA margin would require offsetting improvement elsewhere.</v>
      </c>
      <c r="C83" s="86"/>
      <c r="D83" s="86"/>
      <c r="E83" s="86"/>
      <c r="F83" s="86"/>
      <c r="G83" s="86"/>
      <c r="H83" s="86"/>
      <c r="I83" s="5"/>
      <c r="J83" s="5"/>
      <c r="K83" s="12"/>
      <c r="L83" s="1"/>
      <c r="M83" s="1"/>
    </row>
    <row r="84" spans="1:13" ht="1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"/>
      <c r="M84" s="1"/>
    </row>
    <row r="85" spans="1:13" ht="15" customHeight="1" x14ac:dyDescent="0.2">
      <c r="A85" s="6" t="s">
        <v>269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1"/>
      <c r="M85" s="1"/>
    </row>
    <row r="86" spans="1:13" ht="1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"/>
      <c r="M86" s="1"/>
    </row>
    <row r="87" spans="1:13" ht="1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"/>
      <c r="M87" s="1"/>
    </row>
    <row r="88" spans="1:13" ht="1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"/>
      <c r="M88" s="1"/>
    </row>
    <row r="89" spans="1:13" ht="1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"/>
      <c r="M89" s="1"/>
    </row>
    <row r="90" spans="1:13" ht="1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"/>
      <c r="M90" s="1"/>
    </row>
    <row r="91" spans="1:13" ht="1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"/>
      <c r="M91" s="1"/>
    </row>
    <row r="92" spans="1:13" ht="1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"/>
      <c r="M92" s="1"/>
    </row>
    <row r="93" spans="1:13" ht="1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"/>
      <c r="M93" s="1"/>
    </row>
    <row r="94" spans="1:13" ht="1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"/>
      <c r="M94" s="1"/>
    </row>
    <row r="95" spans="1:13" ht="1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"/>
      <c r="M95" s="1"/>
    </row>
    <row r="96" spans="1:13" ht="1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"/>
      <c r="M96" s="1"/>
    </row>
    <row r="97" spans="1:13" ht="1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"/>
      <c r="M97" s="1"/>
    </row>
    <row r="98" spans="1:13" ht="1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"/>
      <c r="M98" s="1"/>
    </row>
    <row r="99" spans="1:13" ht="1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"/>
      <c r="M99" s="1"/>
    </row>
    <row r="100" spans="1:13" ht="1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"/>
      <c r="M100" s="1"/>
    </row>
    <row r="101" spans="1:13" ht="1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"/>
      <c r="M101" s="1"/>
    </row>
    <row r="102" spans="1:13" ht="1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"/>
      <c r="M102" s="1"/>
    </row>
    <row r="103" spans="1:13" ht="1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"/>
      <c r="M103" s="1"/>
    </row>
    <row r="104" spans="1:13" ht="15" customHeight="1" x14ac:dyDescent="0.2">
      <c r="A104" s="12" t="s">
        <v>270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"/>
      <c r="M104" s="1"/>
    </row>
    <row r="105" spans="1:13" ht="15" customHeight="1" x14ac:dyDescent="0.2">
      <c r="A105" s="13" t="s">
        <v>271</v>
      </c>
      <c r="B105" s="21">
        <f t="shared" ref="B105:M105" si="5">$B$19</f>
        <v>97.769999999999953</v>
      </c>
      <c r="C105" s="21">
        <f t="shared" si="5"/>
        <v>97.769999999999953</v>
      </c>
      <c r="D105" s="21">
        <f t="shared" si="5"/>
        <v>97.769999999999953</v>
      </c>
      <c r="E105" s="21">
        <f t="shared" si="5"/>
        <v>97.769999999999953</v>
      </c>
      <c r="F105" s="21">
        <f t="shared" si="5"/>
        <v>97.769999999999953</v>
      </c>
      <c r="G105" s="21">
        <f t="shared" si="5"/>
        <v>97.769999999999953</v>
      </c>
      <c r="H105" s="21">
        <f t="shared" si="5"/>
        <v>97.769999999999953</v>
      </c>
      <c r="I105" s="21">
        <f t="shared" si="5"/>
        <v>97.769999999999953</v>
      </c>
      <c r="J105" s="21">
        <f t="shared" si="5"/>
        <v>97.769999999999953</v>
      </c>
      <c r="K105" s="21">
        <f t="shared" si="5"/>
        <v>97.769999999999953</v>
      </c>
      <c r="L105" s="3">
        <f t="shared" si="5"/>
        <v>97.769999999999953</v>
      </c>
      <c r="M105" s="3">
        <f t="shared" si="5"/>
        <v>97.769999999999953</v>
      </c>
    </row>
    <row r="106" spans="1:13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3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3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3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3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3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3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</sheetData>
  <mergeCells count="1">
    <mergeCell ref="B83:H83"/>
  </mergeCell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70"/>
  <sheetViews>
    <sheetView showGridLines="0" zoomScaleNormal="100" workbookViewId="0">
      <pane ySplit="4" topLeftCell="A5" activePane="bottomLeft" state="frozen"/>
      <selection pane="bottomLeft" activeCell="D12" sqref="D12"/>
    </sheetView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10" ht="15" customHeight="1" x14ac:dyDescent="0.2">
      <c r="A1" s="2" t="s">
        <v>28</v>
      </c>
      <c r="B1" s="1"/>
      <c r="C1" s="1"/>
      <c r="D1" s="1"/>
      <c r="E1" s="1"/>
      <c r="F1" s="1"/>
      <c r="G1" s="1"/>
      <c r="H1" s="1"/>
      <c r="I1" s="1"/>
    </row>
    <row r="2" spans="1:10" ht="15" customHeight="1" x14ac:dyDescent="0.2">
      <c r="A2" s="47" t="s">
        <v>272</v>
      </c>
      <c r="B2" s="5"/>
      <c r="C2" s="5"/>
      <c r="D2" s="5"/>
      <c r="E2" s="5"/>
      <c r="F2" s="5"/>
      <c r="G2" s="5"/>
      <c r="H2" s="5"/>
      <c r="I2" s="5"/>
      <c r="J2" s="5"/>
    </row>
    <row r="3" spans="1:10" s="14" customFormat="1" ht="15" customHeight="1" x14ac:dyDescent="0.2">
      <c r="A3" s="4" t="s">
        <v>328</v>
      </c>
      <c r="B3" s="5"/>
      <c r="C3" s="5"/>
      <c r="D3" s="5"/>
      <c r="E3" s="5"/>
      <c r="F3" s="5"/>
      <c r="G3" s="5"/>
      <c r="H3" s="5"/>
      <c r="I3" s="5"/>
      <c r="J3" s="5"/>
    </row>
    <row r="4" spans="1:10" ht="1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15" customHeight="1" x14ac:dyDescent="0.2">
      <c r="A5" s="12" t="s">
        <v>338</v>
      </c>
      <c r="B5" s="5"/>
      <c r="C5" s="5"/>
      <c r="D5" s="5"/>
      <c r="E5" s="5"/>
      <c r="F5" s="5"/>
      <c r="G5" s="5"/>
      <c r="H5" s="5"/>
      <c r="I5" s="5"/>
      <c r="J5" s="5"/>
    </row>
    <row r="6" spans="1:10" ht="15" customHeight="1" x14ac:dyDescent="0.2">
      <c r="A6" s="6" t="s">
        <v>273</v>
      </c>
      <c r="B6" s="7"/>
      <c r="C6" s="7"/>
      <c r="D6" s="7"/>
      <c r="E6" s="7"/>
      <c r="F6" s="7"/>
      <c r="G6" s="7"/>
      <c r="H6" s="7"/>
      <c r="I6" s="7"/>
      <c r="J6" s="5"/>
    </row>
    <row r="7" spans="1:10" ht="15" customHeight="1" x14ac:dyDescent="0.2">
      <c r="A7" s="25" t="s">
        <v>274</v>
      </c>
      <c r="B7" s="26" t="s">
        <v>42</v>
      </c>
      <c r="C7" s="26" t="s">
        <v>43</v>
      </c>
      <c r="D7" s="26" t="s">
        <v>44</v>
      </c>
      <c r="E7" s="5"/>
      <c r="F7" s="5"/>
      <c r="G7" s="5"/>
      <c r="H7" s="5"/>
      <c r="I7" s="5"/>
      <c r="J7" s="5"/>
    </row>
    <row r="8" spans="1:10" ht="15" customHeight="1" x14ac:dyDescent="0.2">
      <c r="A8" s="8" t="s">
        <v>275</v>
      </c>
      <c r="B8" s="28">
        <f>INDEX(Assumptions!$C$11:$C$13,1)</f>
        <v>0.88800000000000001</v>
      </c>
      <c r="C8" s="28">
        <f>INDEX(Assumptions!$C$11:$C$13,2)</f>
        <v>0.9</v>
      </c>
      <c r="D8" s="28">
        <f>INDEX(Assumptions!$C$11:$C$13,3)</f>
        <v>0.91500000000000004</v>
      </c>
      <c r="E8" s="5"/>
      <c r="F8" s="5"/>
      <c r="G8" s="5"/>
      <c r="H8" s="5"/>
      <c r="I8" s="60"/>
      <c r="J8" s="5"/>
    </row>
    <row r="9" spans="1:10" ht="15" customHeight="1" x14ac:dyDescent="0.2">
      <c r="A9" s="8" t="s">
        <v>47</v>
      </c>
      <c r="B9" s="28">
        <f>INDEX(Assumptions!$D$11:$D$13,1)</f>
        <v>-0.05</v>
      </c>
      <c r="C9" s="28">
        <f>INDEX(Assumptions!$D$11:$D$13,2)</f>
        <v>0.08</v>
      </c>
      <c r="D9" s="28">
        <f>INDEX(Assumptions!$D$11:$D$13,3)</f>
        <v>0.2</v>
      </c>
      <c r="E9" s="5"/>
      <c r="F9" s="5"/>
      <c r="G9" s="5"/>
      <c r="H9" s="5"/>
      <c r="I9" s="5"/>
      <c r="J9" s="5"/>
    </row>
    <row r="10" spans="1:10" ht="15" customHeight="1" x14ac:dyDescent="0.2">
      <c r="A10" s="8" t="s">
        <v>276</v>
      </c>
      <c r="B10" s="28">
        <f>INDEX(Assumptions!$E$11:$E$13,1)</f>
        <v>-1.2E-2</v>
      </c>
      <c r="C10" s="28">
        <f>INDEX(Assumptions!$E$11:$E$13,2)</f>
        <v>0</v>
      </c>
      <c r="D10" s="28">
        <f>INDEX(Assumptions!$E$11:$E$13,3)</f>
        <v>0.02</v>
      </c>
      <c r="E10" s="5"/>
      <c r="F10" s="5"/>
      <c r="G10" s="5"/>
      <c r="H10" s="5"/>
      <c r="I10" s="5"/>
      <c r="J10" s="5"/>
    </row>
    <row r="11" spans="1:10" ht="15" customHeight="1" x14ac:dyDescent="0.2">
      <c r="A11" s="8" t="s">
        <v>277</v>
      </c>
      <c r="B11" s="27">
        <f>INDEX(Assumptions!$F$11:$F$13,1)</f>
        <v>-5</v>
      </c>
      <c r="C11" s="27">
        <f>INDEX(Assumptions!$F$11:$F$13,2)</f>
        <v>0</v>
      </c>
      <c r="D11" s="27">
        <f>INDEX(Assumptions!$F$11:$F$13,3)</f>
        <v>5</v>
      </c>
      <c r="E11" s="5"/>
      <c r="F11" s="5"/>
      <c r="G11" s="5"/>
      <c r="H11" s="5"/>
      <c r="I11" s="5"/>
      <c r="J11" s="5"/>
    </row>
    <row r="12" spans="1:10" ht="15" customHeight="1" x14ac:dyDescent="0.2">
      <c r="A12" s="8" t="s">
        <v>278</v>
      </c>
      <c r="B12" s="28">
        <f>INDEX(Assumptions!$G$11:$G$13,1)</f>
        <v>0.78</v>
      </c>
      <c r="C12" s="28">
        <f>INDEX(Assumptions!$G$11:$G$13,2)</f>
        <v>0.85</v>
      </c>
      <c r="D12" s="28">
        <f>INDEX(Assumptions!$G$11:$G$13,3)</f>
        <v>0.92</v>
      </c>
      <c r="E12" s="5"/>
      <c r="F12" s="5"/>
      <c r="G12" s="5"/>
      <c r="H12" s="5"/>
      <c r="I12" s="5"/>
      <c r="J12" s="5"/>
    </row>
    <row r="13" spans="1:10" ht="1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ht="15" customHeight="1" x14ac:dyDescent="0.2">
      <c r="A14" s="8" t="s">
        <v>149</v>
      </c>
      <c r="B14" s="27">
        <f>'ARR Bridge'!$B$18</f>
        <v>539.70000000000005</v>
      </c>
      <c r="C14" s="27">
        <f>'ARR Bridge'!$B$18</f>
        <v>539.70000000000005</v>
      </c>
      <c r="D14" s="27">
        <f>'ARR Bridge'!$B$18</f>
        <v>539.70000000000005</v>
      </c>
      <c r="E14" s="5"/>
      <c r="F14" s="5"/>
      <c r="G14" s="5"/>
      <c r="H14" s="5"/>
      <c r="I14" s="12"/>
      <c r="J14" s="5"/>
    </row>
    <row r="15" spans="1:10" ht="15" customHeight="1" x14ac:dyDescent="0.2">
      <c r="A15" s="8" t="s">
        <v>279</v>
      </c>
      <c r="B15" s="21">
        <f>-B14*(1-B8)</f>
        <v>-60.446399999999997</v>
      </c>
      <c r="C15" s="21">
        <f>-C14*(1-C8)</f>
        <v>-53.969999999999992</v>
      </c>
      <c r="D15" s="21">
        <f>-D14*(1-D8)</f>
        <v>-45.874499999999983</v>
      </c>
      <c r="E15" s="5"/>
      <c r="F15" s="5"/>
      <c r="G15" s="5"/>
      <c r="H15" s="5"/>
      <c r="I15" s="5"/>
      <c r="J15" s="5"/>
    </row>
    <row r="16" spans="1:10" ht="15" customHeight="1" x14ac:dyDescent="0.2">
      <c r="A16" s="8" t="s">
        <v>280</v>
      </c>
      <c r="B16" s="21">
        <f>B14*('ARR Bridge'!$B$28+B10)</f>
        <v>63.684600000000039</v>
      </c>
      <c r="C16" s="21">
        <f>C14*('ARR Bridge'!$B$28+C10)</f>
        <v>70.161000000000044</v>
      </c>
      <c r="D16" s="21">
        <f>D14*('ARR Bridge'!$B$28+D10)</f>
        <v>80.955000000000027</v>
      </c>
      <c r="E16" s="5"/>
      <c r="F16" s="5"/>
      <c r="G16" s="5"/>
      <c r="H16" s="5"/>
      <c r="I16" s="5"/>
      <c r="J16" s="5"/>
    </row>
    <row r="17" spans="1:10" ht="15" customHeight="1" x14ac:dyDescent="0.2">
      <c r="A17" s="8" t="s">
        <v>281</v>
      </c>
      <c r="B17" s="21">
        <f>'ARR Bridge'!$B$16*(1+B9)</f>
        <v>21.521299999999997</v>
      </c>
      <c r="C17" s="21">
        <f>'ARR Bridge'!$B$16*(1+C9)</f>
        <v>24.466319999999996</v>
      </c>
      <c r="D17" s="21">
        <f>'ARR Bridge'!$B$16*(1+D9)</f>
        <v>27.184799999999996</v>
      </c>
      <c r="E17" s="5"/>
      <c r="F17" s="5"/>
      <c r="G17" s="5"/>
      <c r="H17" s="5"/>
      <c r="I17" s="5"/>
      <c r="J17" s="5"/>
    </row>
    <row r="18" spans="1:10" ht="15" customHeight="1" x14ac:dyDescent="0.2">
      <c r="A18" s="8" t="s">
        <v>131</v>
      </c>
      <c r="B18" s="80">
        <f>B11</f>
        <v>-5</v>
      </c>
      <c r="C18" s="80">
        <f>C11</f>
        <v>0</v>
      </c>
      <c r="D18" s="80">
        <f>D11</f>
        <v>5</v>
      </c>
      <c r="E18" s="5"/>
      <c r="F18" s="5"/>
      <c r="G18" s="5"/>
      <c r="H18" s="5"/>
      <c r="I18" s="5"/>
      <c r="J18" s="5"/>
    </row>
    <row r="19" spans="1:10" ht="15" customHeight="1" x14ac:dyDescent="0.2">
      <c r="A19" s="77" t="s">
        <v>282</v>
      </c>
      <c r="B19" s="31">
        <f>B14+SUM(B15:B18)</f>
        <v>559.45950000000005</v>
      </c>
      <c r="C19" s="31">
        <f>C14+SUM(C15:C18)</f>
        <v>580.35732000000007</v>
      </c>
      <c r="D19" s="31">
        <f>D14+SUM(D15:D18)</f>
        <v>606.96530000000007</v>
      </c>
      <c r="E19" s="5"/>
      <c r="F19" s="5"/>
      <c r="G19" s="5"/>
      <c r="H19" s="5"/>
      <c r="I19" s="12"/>
      <c r="J19" s="5"/>
    </row>
    <row r="20" spans="1:10" ht="15" customHeight="1" x14ac:dyDescent="0.2">
      <c r="A20" s="8" t="s">
        <v>283</v>
      </c>
      <c r="B20" s="22">
        <f>B19/B14-1</f>
        <v>3.6612006670372343E-2</v>
      </c>
      <c r="C20" s="22">
        <f>C19/C14-1</f>
        <v>7.5333185102834932E-2</v>
      </c>
      <c r="D20" s="22">
        <f>D19/D14-1</f>
        <v>0.12463461182138236</v>
      </c>
      <c r="E20" s="5"/>
      <c r="F20" s="5"/>
      <c r="G20" s="5"/>
      <c r="H20" s="5"/>
      <c r="I20" s="5"/>
      <c r="J20" s="5"/>
    </row>
    <row r="21" spans="1:10" ht="15" customHeight="1" x14ac:dyDescent="0.2">
      <c r="A21" s="8" t="s">
        <v>158</v>
      </c>
      <c r="B21" s="22">
        <f>(B14+B16+B15)/B14</f>
        <v>1.006</v>
      </c>
      <c r="C21" s="22">
        <f>(C14+C16+C15)/C14</f>
        <v>1.03</v>
      </c>
      <c r="D21" s="22">
        <f>(D14+D16+D15)/D14</f>
        <v>1.0649999999999999</v>
      </c>
      <c r="E21" s="5"/>
      <c r="F21" s="5"/>
      <c r="G21" s="5"/>
      <c r="H21" s="5"/>
      <c r="I21" s="5"/>
      <c r="J21" s="5"/>
    </row>
    <row r="22" spans="1:10" ht="1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5" customHeight="1" x14ac:dyDescent="0.2">
      <c r="A23" s="6" t="s">
        <v>284</v>
      </c>
      <c r="B23" s="7"/>
      <c r="C23" s="7"/>
      <c r="D23" s="7"/>
      <c r="E23" s="7"/>
      <c r="F23" s="7"/>
      <c r="G23" s="7"/>
      <c r="H23" s="7"/>
      <c r="I23" s="7"/>
      <c r="J23" s="5"/>
    </row>
    <row r="24" spans="1:10" ht="15" customHeight="1" x14ac:dyDescent="0.2">
      <c r="A24" s="8" t="s">
        <v>285</v>
      </c>
      <c r="B24" s="27">
        <f>Actuals!$C$28</f>
        <v>581</v>
      </c>
      <c r="C24" s="27">
        <f>Actuals!$C$28</f>
        <v>581</v>
      </c>
      <c r="D24" s="27">
        <f>Actuals!$C$28</f>
        <v>581</v>
      </c>
      <c r="E24" s="5"/>
      <c r="F24" s="5"/>
      <c r="G24" s="5"/>
      <c r="H24" s="5"/>
      <c r="I24" s="12"/>
      <c r="J24" s="5"/>
    </row>
    <row r="25" spans="1:10" ht="15" customHeight="1" x14ac:dyDescent="0.2">
      <c r="A25" s="8" t="s">
        <v>286</v>
      </c>
      <c r="B25" s="27">
        <f>Actuals!$D$28</f>
        <v>586</v>
      </c>
      <c r="C25" s="27">
        <f>Actuals!$D$28</f>
        <v>586</v>
      </c>
      <c r="D25" s="27">
        <f>Actuals!$D$28</f>
        <v>586</v>
      </c>
      <c r="E25" s="5"/>
      <c r="F25" s="5"/>
      <c r="G25" s="5"/>
      <c r="H25" s="5"/>
      <c r="I25" s="5"/>
      <c r="J25" s="5"/>
    </row>
    <row r="26" spans="1:10" ht="15" customHeight="1" x14ac:dyDescent="0.2">
      <c r="A26" s="9" t="s">
        <v>287</v>
      </c>
      <c r="B26" s="23">
        <f>B19-B24</f>
        <v>-21.540499999999952</v>
      </c>
      <c r="C26" s="23">
        <f>C19-C24</f>
        <v>-0.64267999999992753</v>
      </c>
      <c r="D26" s="23">
        <f>D19-D24</f>
        <v>25.96530000000007</v>
      </c>
      <c r="E26" s="5"/>
      <c r="F26" s="5"/>
      <c r="G26" s="5"/>
      <c r="H26" s="5"/>
      <c r="I26" s="5"/>
      <c r="J26" s="5"/>
    </row>
    <row r="27" spans="1:10" ht="15" customHeight="1" x14ac:dyDescent="0.2">
      <c r="A27" s="9" t="s">
        <v>288</v>
      </c>
      <c r="B27" s="16" t="str">
        <f>IF(B19&gt;=B24,"YES","NO")</f>
        <v>NO</v>
      </c>
      <c r="C27" s="16" t="str">
        <f>IF(C19&gt;=C24,"YES","NO")</f>
        <v>NO</v>
      </c>
      <c r="D27" s="16" t="str">
        <f>IF(D19&gt;=D24,"YES","NO")</f>
        <v>YES</v>
      </c>
      <c r="E27" s="5"/>
      <c r="F27" s="5"/>
      <c r="G27" s="5"/>
      <c r="H27" s="5"/>
      <c r="I27" s="5"/>
      <c r="J27" s="5"/>
    </row>
    <row r="28" spans="1:10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15" customHeight="1" x14ac:dyDescent="0.2">
      <c r="A29" s="8" t="s">
        <v>289</v>
      </c>
      <c r="B29" s="27">
        <f>Actuals!$C$35</f>
        <v>562</v>
      </c>
      <c r="C29" s="27">
        <f>Actuals!$C$35</f>
        <v>562</v>
      </c>
      <c r="D29" s="27">
        <f>Actuals!$C$35</f>
        <v>562</v>
      </c>
      <c r="E29" s="5"/>
      <c r="F29" s="5"/>
      <c r="G29" s="5"/>
      <c r="H29" s="5"/>
      <c r="I29" s="12"/>
      <c r="J29" s="5"/>
    </row>
    <row r="30" spans="1:10" ht="15" customHeight="1" x14ac:dyDescent="0.2">
      <c r="A30" s="9" t="s">
        <v>290</v>
      </c>
      <c r="B30" s="23">
        <f>B19-B29</f>
        <v>-2.5404999999999518</v>
      </c>
      <c r="C30" s="23">
        <f>C19-C29</f>
        <v>18.357320000000072</v>
      </c>
      <c r="D30" s="23">
        <f>D19-D29</f>
        <v>44.96530000000007</v>
      </c>
      <c r="E30" s="5"/>
      <c r="F30" s="5"/>
      <c r="G30" s="5"/>
      <c r="H30" s="5"/>
      <c r="I30" s="5"/>
      <c r="J30" s="5"/>
    </row>
    <row r="31" spans="1:10" ht="15" customHeight="1" x14ac:dyDescent="0.2">
      <c r="A31" s="9" t="s">
        <v>291</v>
      </c>
      <c r="B31" s="16" t="str">
        <f>IF(B19&gt;=B29,"YES","NO")</f>
        <v>NO</v>
      </c>
      <c r="C31" s="16" t="str">
        <f>IF(C19&gt;=C29,"YES","NO")</f>
        <v>YES</v>
      </c>
      <c r="D31" s="16" t="str">
        <f>IF(D19&gt;=D29,"YES","NO")</f>
        <v>YES</v>
      </c>
      <c r="E31" s="5"/>
      <c r="F31" s="5"/>
      <c r="G31" s="5"/>
      <c r="H31" s="5"/>
      <c r="I31" s="5"/>
      <c r="J31" s="5"/>
    </row>
    <row r="32" spans="1:10" ht="1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5" customHeight="1" x14ac:dyDescent="0.2">
      <c r="A33" s="6" t="s">
        <v>292</v>
      </c>
      <c r="B33" s="7"/>
      <c r="C33" s="7"/>
      <c r="D33" s="7"/>
      <c r="E33" s="7"/>
      <c r="F33" s="7"/>
      <c r="G33" s="7"/>
      <c r="H33" s="7"/>
      <c r="I33" s="7"/>
      <c r="J33" s="5"/>
    </row>
    <row r="34" spans="1:10" ht="15" customHeight="1" x14ac:dyDescent="0.2">
      <c r="A34" s="12" t="s">
        <v>337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ht="15" customHeight="1" x14ac:dyDescent="0.2">
      <c r="A35" s="25" t="s">
        <v>293</v>
      </c>
      <c r="B35" s="44">
        <f>Assumptions!B$38</f>
        <v>-0.2</v>
      </c>
      <c r="C35" s="44">
        <f>Assumptions!C$38</f>
        <v>-0.1</v>
      </c>
      <c r="D35" s="44">
        <f>Assumptions!D$38</f>
        <v>0</v>
      </c>
      <c r="E35" s="44">
        <f>Assumptions!E$38</f>
        <v>0.1</v>
      </c>
      <c r="F35" s="44">
        <f>Assumptions!F$38</f>
        <v>0.2</v>
      </c>
      <c r="G35" s="5"/>
      <c r="H35" s="5"/>
      <c r="I35" s="5"/>
      <c r="J35" s="5"/>
    </row>
    <row r="36" spans="1:10" ht="15" customHeight="1" x14ac:dyDescent="0.2">
      <c r="A36" s="44">
        <f>Assumptions!B$37</f>
        <v>0.87</v>
      </c>
      <c r="B36" s="21">
        <f>$B$14-$B$14*(1-$A36)+$B$14*'ARR Bridge'!$B$28+'ARR Bridge'!$B$16*(1+B$35)</f>
        <v>557.82320000000004</v>
      </c>
      <c r="C36" s="21">
        <f>$B$14-$B$14*(1-$A36)+$B$14*'ARR Bridge'!$B$28+'ARR Bridge'!$B$16*(1+C$35)</f>
        <v>560.08860000000004</v>
      </c>
      <c r="D36" s="21">
        <f>$B$14-$B$14*(1-$A36)+$B$14*'ARR Bridge'!$B$28+'ARR Bridge'!$B$16*(1+D$35)</f>
        <v>562.35400000000004</v>
      </c>
      <c r="E36" s="21">
        <f>$B$14-$B$14*(1-$A36)+$B$14*'ARR Bridge'!$B$28+'ARR Bridge'!$B$16*(1+E$35)</f>
        <v>564.61940000000004</v>
      </c>
      <c r="F36" s="21">
        <f>$B$14-$B$14*(1-$A36)+$B$14*'ARR Bridge'!$B$28+'ARR Bridge'!$B$16*(1+F$35)</f>
        <v>566.88480000000004</v>
      </c>
      <c r="G36" s="5"/>
      <c r="H36" s="5"/>
      <c r="I36" s="5"/>
      <c r="J36" s="5"/>
    </row>
    <row r="37" spans="1:10" ht="15" customHeight="1" x14ac:dyDescent="0.2">
      <c r="A37" s="44">
        <f>Assumptions!C$37</f>
        <v>0.88500000000000001</v>
      </c>
      <c r="B37" s="21">
        <f>$B$14-$B$14*(1-$A37)+$B$14*'ARR Bridge'!$B$28+'ARR Bridge'!$B$16*(1+B$35)</f>
        <v>565.91870000000006</v>
      </c>
      <c r="C37" s="21">
        <f>$B$14-$B$14*(1-$A37)+$B$14*'ARR Bridge'!$B$28+'ARR Bridge'!$B$16*(1+C$35)</f>
        <v>568.18410000000006</v>
      </c>
      <c r="D37" s="21">
        <f>$B$14-$B$14*(1-$A37)+$B$14*'ARR Bridge'!$B$28+'ARR Bridge'!$B$16*(1+D$35)</f>
        <v>570.44950000000006</v>
      </c>
      <c r="E37" s="21">
        <f>$B$14-$B$14*(1-$A37)+$B$14*'ARR Bridge'!$B$28+'ARR Bridge'!$B$16*(1+E$35)</f>
        <v>572.71490000000006</v>
      </c>
      <c r="F37" s="21">
        <f>$B$14-$B$14*(1-$A37)+$B$14*'ARR Bridge'!$B$28+'ARR Bridge'!$B$16*(1+F$35)</f>
        <v>574.98030000000006</v>
      </c>
      <c r="G37" s="5"/>
      <c r="H37" s="5"/>
      <c r="I37" s="5"/>
      <c r="J37" s="5"/>
    </row>
    <row r="38" spans="1:10" ht="15" customHeight="1" x14ac:dyDescent="0.2">
      <c r="A38" s="44">
        <f>Assumptions!D$37</f>
        <v>0.9</v>
      </c>
      <c r="B38" s="21">
        <f>$B$14-$B$14*(1-$A38)+$B$14*'ARR Bridge'!$B$28+'ARR Bridge'!$B$16*(1+B$35)</f>
        <v>574.01420000000007</v>
      </c>
      <c r="C38" s="21">
        <f>$B$14-$B$14*(1-$A38)+$B$14*'ARR Bridge'!$B$28+'ARR Bridge'!$B$16*(1+C$35)</f>
        <v>576.27960000000007</v>
      </c>
      <c r="D38" s="21">
        <f>$B$14-$B$14*(1-$A38)+$B$14*'ARR Bridge'!$B$28+'ARR Bridge'!$B$16*(1+D$35)</f>
        <v>578.54500000000007</v>
      </c>
      <c r="E38" s="21">
        <f>$B$14-$B$14*(1-$A38)+$B$14*'ARR Bridge'!$B$28+'ARR Bridge'!$B$16*(1+E$35)</f>
        <v>580.81040000000007</v>
      </c>
      <c r="F38" s="21">
        <f>$B$14-$B$14*(1-$A38)+$B$14*'ARR Bridge'!$B$28+'ARR Bridge'!$B$16*(1+F$35)</f>
        <v>583.07580000000007</v>
      </c>
      <c r="G38" s="5"/>
      <c r="H38" s="5"/>
      <c r="I38" s="5"/>
      <c r="J38" s="5"/>
    </row>
    <row r="39" spans="1:10" ht="15" customHeight="1" x14ac:dyDescent="0.2">
      <c r="A39" s="44">
        <f>Assumptions!E$37</f>
        <v>0.91500000000000004</v>
      </c>
      <c r="B39" s="21">
        <f>$B$14-$B$14*(1-$A39)+$B$14*'ARR Bridge'!$B$28+'ARR Bridge'!$B$16*(1+B$35)</f>
        <v>582.10970000000009</v>
      </c>
      <c r="C39" s="21">
        <f>$B$14-$B$14*(1-$A39)+$B$14*'ARR Bridge'!$B$28+'ARR Bridge'!$B$16*(1+C$35)</f>
        <v>584.37510000000009</v>
      </c>
      <c r="D39" s="21">
        <f>$B$14-$B$14*(1-$A39)+$B$14*'ARR Bridge'!$B$28+'ARR Bridge'!$B$16*(1+D$35)</f>
        <v>586.64050000000009</v>
      </c>
      <c r="E39" s="21">
        <f>$B$14-$B$14*(1-$A39)+$B$14*'ARR Bridge'!$B$28+'ARR Bridge'!$B$16*(1+E$35)</f>
        <v>588.90590000000009</v>
      </c>
      <c r="F39" s="21">
        <f>$B$14-$B$14*(1-$A39)+$B$14*'ARR Bridge'!$B$28+'ARR Bridge'!$B$16*(1+F$35)</f>
        <v>591.17130000000009</v>
      </c>
      <c r="G39" s="5"/>
      <c r="H39" s="5"/>
      <c r="I39" s="5"/>
      <c r="J39" s="5"/>
    </row>
    <row r="40" spans="1:10" ht="15" customHeight="1" x14ac:dyDescent="0.2">
      <c r="A40" s="44">
        <f>Assumptions!F$37</f>
        <v>0.93</v>
      </c>
      <c r="B40" s="21">
        <f>$B$14-$B$14*(1-$A40)+$B$14*'ARR Bridge'!$B$28+'ARR Bridge'!$B$16*(1+B$35)</f>
        <v>590.2052000000001</v>
      </c>
      <c r="C40" s="21">
        <f>$B$14-$B$14*(1-$A40)+$B$14*'ARR Bridge'!$B$28+'ARR Bridge'!$B$16*(1+C$35)</f>
        <v>592.4706000000001</v>
      </c>
      <c r="D40" s="21">
        <f>$B$14-$B$14*(1-$A40)+$B$14*'ARR Bridge'!$B$28+'ARR Bridge'!$B$16*(1+D$35)</f>
        <v>594.7360000000001</v>
      </c>
      <c r="E40" s="21">
        <f>$B$14-$B$14*(1-$A40)+$B$14*'ARR Bridge'!$B$28+'ARR Bridge'!$B$16*(1+E$35)</f>
        <v>597.0014000000001</v>
      </c>
      <c r="F40" s="21">
        <f>$B$14-$B$14*(1-$A40)+$B$14*'ARR Bridge'!$B$28+'ARR Bridge'!$B$16*(1+F$35)</f>
        <v>599.2668000000001</v>
      </c>
      <c r="G40" s="5"/>
      <c r="H40" s="5"/>
      <c r="I40" s="5"/>
      <c r="J40" s="5"/>
    </row>
    <row r="41" spans="1:10" ht="1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5" customHeight="1" x14ac:dyDescent="0.2">
      <c r="A42" s="12" t="s">
        <v>294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ht="15" customHeight="1" x14ac:dyDescent="0.2">
      <c r="A43" s="42" t="s">
        <v>336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15" customHeight="1" x14ac:dyDescent="0.2">
      <c r="A44" s="6" t="s">
        <v>295</v>
      </c>
      <c r="B44" s="7"/>
      <c r="C44" s="7"/>
      <c r="D44" s="7"/>
      <c r="E44" s="7"/>
      <c r="F44" s="7"/>
      <c r="G44" s="7"/>
      <c r="H44" s="7"/>
      <c r="I44" s="7"/>
      <c r="J44" s="5"/>
    </row>
    <row r="45" spans="1:10" ht="1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5" customHeight="1" x14ac:dyDescent="0.2">
      <c r="A64" s="81" t="s">
        <v>335</v>
      </c>
      <c r="B64" s="5"/>
      <c r="C64" s="5"/>
      <c r="D64" s="5"/>
      <c r="E64" s="5"/>
      <c r="F64" s="5"/>
      <c r="G64" s="5"/>
      <c r="H64" s="5"/>
      <c r="I64" s="5"/>
      <c r="J64" s="5"/>
    </row>
    <row r="65" spans="1:10" ht="15" customHeight="1" x14ac:dyDescent="0.2">
      <c r="A65" s="13" t="s">
        <v>296</v>
      </c>
      <c r="B65" s="21">
        <f>$B$24</f>
        <v>581</v>
      </c>
      <c r="C65" s="21">
        <f>$B$24</f>
        <v>581</v>
      </c>
      <c r="D65" s="21">
        <f>$B$24</f>
        <v>581</v>
      </c>
      <c r="E65" s="5"/>
      <c r="F65" s="5"/>
      <c r="G65" s="5"/>
      <c r="H65" s="5"/>
      <c r="I65" s="5"/>
      <c r="J65" s="5"/>
    </row>
    <row r="66" spans="1:10" ht="15" customHeight="1" x14ac:dyDescent="0.2">
      <c r="A66" s="13" t="s">
        <v>297</v>
      </c>
      <c r="B66" s="21">
        <f>$B$29</f>
        <v>562</v>
      </c>
      <c r="C66" s="21">
        <f>$B$29</f>
        <v>562</v>
      </c>
      <c r="D66" s="21">
        <f>$B$29</f>
        <v>562</v>
      </c>
      <c r="E66" s="5"/>
      <c r="F66" s="5"/>
      <c r="G66" s="5"/>
      <c r="H66" s="5"/>
      <c r="I66" s="5"/>
      <c r="J66" s="5"/>
    </row>
    <row r="67" spans="1:10" x14ac:dyDescent="0.2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</row>
  </sheetData>
  <conditionalFormatting sqref="B26:D26">
    <cfRule type="cellIs" dxfId="7" priority="9" operator="lessThan">
      <formula>0</formula>
    </cfRule>
  </conditionalFormatting>
  <conditionalFormatting sqref="B27:D27">
    <cfRule type="cellIs" dxfId="6" priority="2" operator="equal">
      <formula>"YES"</formula>
    </cfRule>
    <cfRule type="cellIs" dxfId="5" priority="3" operator="equal">
      <formula>"NO"</formula>
    </cfRule>
  </conditionalFormatting>
  <conditionalFormatting sqref="B30:D30">
    <cfRule type="cellIs" dxfId="4" priority="8" operator="lessThan">
      <formula>0</formula>
    </cfRule>
  </conditionalFormatting>
  <conditionalFormatting sqref="B31:D31">
    <cfRule type="cellIs" dxfId="3" priority="4" operator="equal">
      <formula>"YES"</formula>
    </cfRule>
    <cfRule type="cellIs" dxfId="2" priority="5" operator="equal">
      <formula>"NO"</formula>
    </cfRule>
  </conditionalFormatting>
  <conditionalFormatting sqref="B36:F40">
    <cfRule type="cellIs" dxfId="1" priority="6" operator="greaterThanOrEqual">
      <formula>$B$24</formula>
    </cfRule>
    <cfRule type="cellIs" dxfId="0" priority="7" operator="lessThan">
      <formula>$B$29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Summary</vt:lpstr>
      <vt:lpstr>Assumptions</vt:lpstr>
      <vt:lpstr>Actuals</vt:lpstr>
      <vt:lpstr>ARR Bridge</vt:lpstr>
      <vt:lpstr>Segmentation</vt:lpstr>
      <vt:lpstr>GTM Capacity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N-able SaaS GTM Metrics and Capacity Model</dc:title>
  <dc:subject>FY2025 ARR bridge, segmentation, and FY2026 capacity test</dc:subject>
  <dc:creator>Selina Hach</dc:creator>
  <dc:description/>
  <cp:lastModifiedBy>Nguyen,Justin</cp:lastModifiedBy>
  <cp:revision>11</cp:revision>
  <dcterms:created xsi:type="dcterms:W3CDTF">2026-08-31T18:55:47Z</dcterms:created>
  <dcterms:modified xsi:type="dcterms:W3CDTF">2026-09-01T00:06:04Z</dcterms:modified>
  <dc:language>en-US</dc:language>
</cp:coreProperties>
</file>